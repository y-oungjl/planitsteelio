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https://d.docs.live.net/b9f352ed9e5ec6ce/00_플랜잇_철강inputoutput연구/steel_iotable/data/"/>
    </mc:Choice>
  </mc:AlternateContent>
  <xr:revisionPtr revIDLastSave="0" documentId="8_{F6B5607A-81C7-9A48-BD90-B05534CDB573}" xr6:coauthVersionLast="47" xr6:coauthVersionMax="47" xr10:uidLastSave="{00000000-0000-0000-0000-000000000000}"/>
  <bookViews>
    <workbookView xWindow="1080" yWindow="1260" windowWidth="27640" windowHeight="16720" xr2:uid="{3BEC46FB-BBD2-5E40-B13C-447FE156904F}"/>
  </bookViews>
  <sheets>
    <sheet name="scenario_2cbam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5" i="1" l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</calcChain>
</file>

<file path=xl/sharedStrings.xml><?xml version="1.0" encoding="utf-8"?>
<sst xmlns="http://schemas.openxmlformats.org/spreadsheetml/2006/main" count="10" uniqueCount="8">
  <si>
    <t>input</t>
  </si>
  <si>
    <t>sector</t>
  </si>
  <si>
    <t>iotable_2023.xlsx</t>
  </si>
  <si>
    <t>1610</t>
  </si>
  <si>
    <t>4506</t>
  </si>
  <si>
    <t>hydrogentable.xlsx</t>
  </si>
  <si>
    <t>H2S</t>
  </si>
  <si>
    <t>H2T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</si>
</sst>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ptos Narrow"/>
    </font>
    <font>
      <sz val="10"/>
      <color theme="1"/>
      <name val="Malgun Gothic"/>
      <family val="2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2" fillId="0" borderId="0" xfId="0" applyNumberFormat="1" applyFont="1"/>
    <xf numFmtId="43" fontId="2" fillId="0" borderId="0" xfId="0" applyNumberFormat="1" applyFont="1"/>
    <xf numFmtId="49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b9f352ed9e5ec6ce/00_&#54540;&#47004;&#51079;_&#52384;&#44053;inputoutput&#50672;&#44396;/Key%20data/Data_v9.xlsx" TargetMode="External"/><Relationship Id="rId1" Type="http://schemas.openxmlformats.org/officeDocument/2006/relationships/externalLinkPath" Target="/b9f352ed9e5ec6ce/00_&#54540;&#47004;&#51079;_&#52384;&#44053;inputoutput&#50672;&#44396;/Key%20data/Data_v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enario1"/>
      <sheetName val="scenario2"/>
      <sheetName val="scenario_2cbam"/>
      <sheetName val="raw data1"/>
      <sheetName val="raw data2"/>
      <sheetName val="raw data_2cbam"/>
      <sheetName val="parameters"/>
      <sheetName val="h2portion"/>
    </sheetNames>
    <sheetDataSet>
      <sheetData sheetId="0"/>
      <sheetData sheetId="1"/>
      <sheetData sheetId="2"/>
      <sheetData sheetId="3"/>
      <sheetData sheetId="4"/>
      <sheetData sheetId="5">
        <row r="6">
          <cell r="A6">
            <v>2025</v>
          </cell>
          <cell r="B6">
            <v>569262679.44000006</v>
          </cell>
          <cell r="C6">
            <v>40865545.933333345</v>
          </cell>
          <cell r="D6">
            <v>610128225.37333345</v>
          </cell>
          <cell r="E6">
            <v>0</v>
          </cell>
          <cell r="F6">
            <v>0</v>
          </cell>
          <cell r="G6">
            <v>35806399.999999993</v>
          </cell>
          <cell r="H6">
            <v>645934625.37333345</v>
          </cell>
          <cell r="N6">
            <v>0</v>
          </cell>
          <cell r="O6">
            <v>974131.53007012967</v>
          </cell>
          <cell r="P6">
            <v>1690993.0463999999</v>
          </cell>
          <cell r="Q6">
            <v>0</v>
          </cell>
          <cell r="R6">
            <v>2665124.5764701297</v>
          </cell>
        </row>
        <row r="7">
          <cell r="A7">
            <v>2026</v>
          </cell>
          <cell r="B7">
            <v>507034122.80023998</v>
          </cell>
          <cell r="C7">
            <v>39680445.101266682</v>
          </cell>
          <cell r="D7">
            <v>546714567.90150666</v>
          </cell>
          <cell r="E7">
            <v>0</v>
          </cell>
          <cell r="F7">
            <v>0</v>
          </cell>
          <cell r="G7">
            <v>53709600</v>
          </cell>
          <cell r="H7">
            <v>600424167.90150666</v>
          </cell>
          <cell r="J7">
            <v>63413657.471826792</v>
          </cell>
          <cell r="K7">
            <v>63413657.471826792</v>
          </cell>
          <cell r="M7">
            <v>-890489.65811501467</v>
          </cell>
          <cell r="N7">
            <v>0</v>
          </cell>
          <cell r="O7">
            <v>1031433.3847801371</v>
          </cell>
          <cell r="P7">
            <v>2685694.8384000002</v>
          </cell>
          <cell r="Q7">
            <v>0</v>
          </cell>
          <cell r="R7">
            <v>3717128.2231801376</v>
          </cell>
        </row>
        <row r="8">
          <cell r="A8">
            <v>2027</v>
          </cell>
          <cell r="B8">
            <v>493880517.55678999</v>
          </cell>
          <cell r="C8">
            <v>38914216.115016676</v>
          </cell>
          <cell r="D8">
            <v>532794733.67180669</v>
          </cell>
          <cell r="E8">
            <v>0</v>
          </cell>
          <cell r="F8">
            <v>0</v>
          </cell>
          <cell r="G8">
            <v>55052340</v>
          </cell>
          <cell r="H8">
            <v>587847073.67180669</v>
          </cell>
          <cell r="J8">
            <v>13919834.229699969</v>
          </cell>
          <cell r="K8">
            <v>77333491.701526761</v>
          </cell>
          <cell r="M8">
            <v>-1085959.6707022907</v>
          </cell>
          <cell r="N8">
            <v>0</v>
          </cell>
          <cell r="O8">
            <v>1031433.3847801371</v>
          </cell>
          <cell r="P8">
            <v>2752837.2093600002</v>
          </cell>
          <cell r="Q8">
            <v>0</v>
          </cell>
          <cell r="R8">
            <v>3784270.5941401375</v>
          </cell>
        </row>
        <row r="9">
          <cell r="A9">
            <v>2028</v>
          </cell>
          <cell r="B9">
            <v>480859340.04583997</v>
          </cell>
          <cell r="C9">
            <v>38147987.128766678</v>
          </cell>
          <cell r="D9">
            <v>519007327.17460662</v>
          </cell>
          <cell r="E9">
            <v>0</v>
          </cell>
          <cell r="F9">
            <v>0</v>
          </cell>
          <cell r="G9">
            <v>56395080</v>
          </cell>
          <cell r="H9">
            <v>575402407.17460656</v>
          </cell>
          <cell r="J9">
            <v>13787406.497200072</v>
          </cell>
          <cell r="K9">
            <v>91120898.198726833</v>
          </cell>
          <cell r="M9">
            <v>-1279570.0598119088</v>
          </cell>
          <cell r="N9">
            <v>0</v>
          </cell>
          <cell r="O9">
            <v>1088735.2394901447</v>
          </cell>
          <cell r="P9">
            <v>2976645.1125599998</v>
          </cell>
          <cell r="Q9">
            <v>0</v>
          </cell>
          <cell r="R9">
            <v>4065380.3520501442</v>
          </cell>
        </row>
        <row r="10">
          <cell r="A10">
            <v>2029</v>
          </cell>
          <cell r="B10">
            <v>467970590.26738995</v>
          </cell>
          <cell r="C10">
            <v>37381758.142516673</v>
          </cell>
          <cell r="D10">
            <v>505352348.40990663</v>
          </cell>
          <cell r="E10">
            <v>0</v>
          </cell>
          <cell r="F10">
            <v>0</v>
          </cell>
          <cell r="G10">
            <v>57737820</v>
          </cell>
          <cell r="H10">
            <v>563090168.40990663</v>
          </cell>
          <cell r="J10">
            <v>13654978.764699996</v>
          </cell>
          <cell r="K10">
            <v>104775876.96342683</v>
          </cell>
          <cell r="M10">
            <v>-1471320.8254438662</v>
          </cell>
          <cell r="N10">
            <v>0</v>
          </cell>
          <cell r="O10">
            <v>1146037.0942001524</v>
          </cell>
          <cell r="P10">
            <v>3207913.2792000002</v>
          </cell>
          <cell r="Q10">
            <v>0</v>
          </cell>
          <cell r="R10">
            <v>4353950.3734001527</v>
          </cell>
        </row>
        <row r="11">
          <cell r="A11">
            <v>2030</v>
          </cell>
          <cell r="B11">
            <v>455214268.22143996</v>
          </cell>
          <cell r="C11">
            <v>36615529.156266682</v>
          </cell>
          <cell r="D11">
            <v>491829797.37770665</v>
          </cell>
          <cell r="E11">
            <v>0</v>
          </cell>
          <cell r="F11">
            <v>0</v>
          </cell>
          <cell r="G11">
            <v>59080560</v>
          </cell>
          <cell r="H11">
            <v>550910357.37770665</v>
          </cell>
          <cell r="J11">
            <v>13522551.032199979</v>
          </cell>
          <cell r="K11">
            <v>118298427.99562681</v>
          </cell>
          <cell r="M11">
            <v>-1661211.9675981635</v>
          </cell>
          <cell r="N11">
            <v>0</v>
          </cell>
          <cell r="O11">
            <v>1203338.94891016</v>
          </cell>
          <cell r="P11">
            <v>3446641.7092799996</v>
          </cell>
          <cell r="Q11">
            <v>0</v>
          </cell>
          <cell r="R11">
            <v>4649980.6581901591</v>
          </cell>
        </row>
        <row r="12">
          <cell r="A12">
            <v>2031</v>
          </cell>
          <cell r="B12">
            <v>445089020.36480004</v>
          </cell>
          <cell r="C12">
            <v>36615529.156266682</v>
          </cell>
          <cell r="D12">
            <v>481704549.52106673</v>
          </cell>
          <cell r="E12">
            <v>0</v>
          </cell>
          <cell r="F12">
            <v>0</v>
          </cell>
          <cell r="G12">
            <v>63377328.000000015</v>
          </cell>
          <cell r="H12">
            <v>545081877.52106678</v>
          </cell>
          <cell r="J12">
            <v>10125247.856639922</v>
          </cell>
          <cell r="K12">
            <v>128423675.85226673</v>
          </cell>
          <cell r="M12">
            <v>-1803396.2992020438</v>
          </cell>
          <cell r="N12">
            <v>0</v>
          </cell>
          <cell r="O12">
            <v>1203338.94891016</v>
          </cell>
          <cell r="P12">
            <v>3697306.5608640006</v>
          </cell>
          <cell r="Q12">
            <v>0</v>
          </cell>
          <cell r="R12">
            <v>4900645.5097741606</v>
          </cell>
        </row>
        <row r="13">
          <cell r="A13">
            <v>2032</v>
          </cell>
          <cell r="B13">
            <v>434963772.50816</v>
          </cell>
          <cell r="C13">
            <v>36615529.156266682</v>
          </cell>
          <cell r="D13">
            <v>471579301.66442668</v>
          </cell>
          <cell r="E13">
            <v>0</v>
          </cell>
          <cell r="F13">
            <v>0</v>
          </cell>
          <cell r="G13">
            <v>67674096</v>
          </cell>
          <cell r="H13">
            <v>539253397.66442668</v>
          </cell>
          <cell r="J13">
            <v>10125247.856640041</v>
          </cell>
          <cell r="K13">
            <v>138548923.70890677</v>
          </cell>
          <cell r="M13">
            <v>-1945580.6308059252</v>
          </cell>
          <cell r="N13">
            <v>0</v>
          </cell>
          <cell r="O13">
            <v>1260640.8036201678</v>
          </cell>
          <cell r="P13">
            <v>4135970.0511359996</v>
          </cell>
          <cell r="Q13">
            <v>0</v>
          </cell>
          <cell r="R13">
            <v>5396610.8547561672</v>
          </cell>
        </row>
        <row r="14">
          <cell r="A14">
            <v>2033</v>
          </cell>
          <cell r="B14">
            <v>405853684.92031997</v>
          </cell>
          <cell r="C14">
            <v>36615529.156266682</v>
          </cell>
          <cell r="D14">
            <v>442469214.07658666</v>
          </cell>
          <cell r="E14">
            <v>14944696.200000001</v>
          </cell>
          <cell r="F14">
            <v>6404869.7999999998</v>
          </cell>
          <cell r="G14">
            <v>71970864</v>
          </cell>
          <cell r="H14">
            <v>535789644.07658666</v>
          </cell>
          <cell r="J14">
            <v>29110087.587840021</v>
          </cell>
          <cell r="K14">
            <v>167659011.29674679</v>
          </cell>
          <cell r="M14">
            <v>-2354360.5841670828</v>
          </cell>
          <cell r="N14">
            <v>1179261.0194993461</v>
          </cell>
          <cell r="O14">
            <v>1317942.6583301753</v>
          </cell>
          <cell r="P14">
            <v>4598506.384416</v>
          </cell>
          <cell r="Q14">
            <v>613775.47049910005</v>
          </cell>
          <cell r="R14">
            <v>6530224.5132452752</v>
          </cell>
        </row>
        <row r="15">
          <cell r="A15">
            <v>2034</v>
          </cell>
          <cell r="B15">
            <v>376743597.33247995</v>
          </cell>
          <cell r="C15">
            <v>36615529.156266682</v>
          </cell>
          <cell r="D15">
            <v>413359126.48874664</v>
          </cell>
          <cell r="E15">
            <v>29889392.400000002</v>
          </cell>
          <cell r="F15">
            <v>12809739.6</v>
          </cell>
          <cell r="G15">
            <v>76267632</v>
          </cell>
          <cell r="H15">
            <v>532325890.48874664</v>
          </cell>
          <cell r="J15">
            <v>29110087.587840021</v>
          </cell>
          <cell r="K15">
            <v>196769098.88458681</v>
          </cell>
          <cell r="M15">
            <v>-2763140.5375282406</v>
          </cell>
          <cell r="N15">
            <v>2344324.577608692</v>
          </cell>
          <cell r="O15">
            <v>1375244.5130401829</v>
          </cell>
          <cell r="P15">
            <v>5084915.5607040003</v>
          </cell>
          <cell r="Q15">
            <v>1280922.7210416</v>
          </cell>
          <cell r="R15">
            <v>7741082.7947857836</v>
          </cell>
        </row>
        <row r="16">
          <cell r="A16">
            <v>2035</v>
          </cell>
          <cell r="B16">
            <v>341305229.83424002</v>
          </cell>
          <cell r="C16">
            <v>36615529.156266682</v>
          </cell>
          <cell r="D16">
            <v>377920758.99050671</v>
          </cell>
          <cell r="E16">
            <v>49815654</v>
          </cell>
          <cell r="F16">
            <v>21349565.999999996</v>
          </cell>
          <cell r="G16">
            <v>80564400</v>
          </cell>
          <cell r="H16">
            <v>529650378.99050671</v>
          </cell>
          <cell r="J16">
            <v>35438367.498239934</v>
          </cell>
          <cell r="K16">
            <v>232207466.38282675</v>
          </cell>
          <cell r="M16">
            <v>-3260785.6981418226</v>
          </cell>
          <cell r="N16">
            <v>3857807.43790218</v>
          </cell>
          <cell r="O16">
            <v>1432546.3677501904</v>
          </cell>
          <cell r="P16">
            <v>5595197.5800000001</v>
          </cell>
          <cell r="Q16">
            <v>2223824.1684749997</v>
          </cell>
          <cell r="R16">
            <v>9251568.1162251905</v>
          </cell>
        </row>
        <row r="17">
          <cell r="A17">
            <v>2036</v>
          </cell>
          <cell r="B17">
            <v>278022430.73023999</v>
          </cell>
          <cell r="C17">
            <v>36615529.156266682</v>
          </cell>
          <cell r="D17">
            <v>314637959.88650668</v>
          </cell>
          <cell r="E17">
            <v>74723481</v>
          </cell>
          <cell r="F17">
            <v>32024348.999999996</v>
          </cell>
          <cell r="G17">
            <v>93991800</v>
          </cell>
          <cell r="H17">
            <v>515377589.88650668</v>
          </cell>
          <cell r="J17">
            <v>63282799.104000032</v>
          </cell>
          <cell r="K17">
            <v>295490265.48682678</v>
          </cell>
          <cell r="M17">
            <v>-4149437.7706660787</v>
          </cell>
          <cell r="N17">
            <v>5708251.5018032705</v>
          </cell>
          <cell r="O17">
            <v>1432546.3677501904</v>
          </cell>
          <cell r="P17">
            <v>6527730.5099999998</v>
          </cell>
          <cell r="Q17">
            <v>3335736.2527124998</v>
          </cell>
          <cell r="R17">
            <v>11296013.130462689</v>
          </cell>
        </row>
        <row r="18">
          <cell r="A18">
            <v>2037</v>
          </cell>
          <cell r="B18">
            <v>278022430.73023999</v>
          </cell>
          <cell r="C18">
            <v>36615529.156266682</v>
          </cell>
          <cell r="D18">
            <v>314637959.88650668</v>
          </cell>
          <cell r="E18">
            <v>99631308</v>
          </cell>
          <cell r="F18">
            <v>42699131.999999993</v>
          </cell>
          <cell r="G18">
            <v>80564400</v>
          </cell>
          <cell r="H18">
            <v>537532799.88650668</v>
          </cell>
          <cell r="J18">
            <v>0</v>
          </cell>
          <cell r="K18">
            <v>295490265.48682678</v>
          </cell>
          <cell r="M18">
            <v>-4149437.7706660787</v>
          </cell>
          <cell r="N18">
            <v>7126959.2334956406</v>
          </cell>
          <cell r="O18">
            <v>1432546.3677501904</v>
          </cell>
          <cell r="P18">
            <v>5595197.5800000001</v>
          </cell>
          <cell r="Q18">
            <v>4447648.3369499994</v>
          </cell>
          <cell r="R18">
            <v>11475392.284700189</v>
          </cell>
        </row>
        <row r="19">
          <cell r="A19">
            <v>2038</v>
          </cell>
          <cell r="B19">
            <v>271694150.81984001</v>
          </cell>
          <cell r="C19">
            <v>36615529.156266682</v>
          </cell>
          <cell r="D19">
            <v>308309679.9761067</v>
          </cell>
          <cell r="E19">
            <v>124539135.00000001</v>
          </cell>
          <cell r="F19">
            <v>53373914.999999993</v>
          </cell>
          <cell r="G19">
            <v>69822480</v>
          </cell>
          <cell r="H19">
            <v>556045209.97610664</v>
          </cell>
          <cell r="J19">
            <v>6328279.9103999734</v>
          </cell>
          <cell r="K19">
            <v>301818545.39722675</v>
          </cell>
          <cell r="M19">
            <v>-4238302.9779185029</v>
          </cell>
          <cell r="N19">
            <v>8523666.3797554504</v>
          </cell>
          <cell r="O19">
            <v>1432546.3677501904</v>
          </cell>
          <cell r="P19">
            <v>4849171.2359999996</v>
          </cell>
          <cell r="Q19">
            <v>5559560.4211874986</v>
          </cell>
          <cell r="R19">
            <v>11841278.024937689</v>
          </cell>
        </row>
        <row r="20">
          <cell r="A20">
            <v>2039</v>
          </cell>
          <cell r="B20">
            <v>271694150.81984001</v>
          </cell>
          <cell r="C20">
            <v>36615529.156266682</v>
          </cell>
          <cell r="D20">
            <v>308309679.9761067</v>
          </cell>
          <cell r="E20">
            <v>149446962</v>
          </cell>
          <cell r="F20">
            <v>64048697.999999993</v>
          </cell>
          <cell r="G20">
            <v>56395080</v>
          </cell>
          <cell r="H20">
            <v>578200419.97610664</v>
          </cell>
          <cell r="J20">
            <v>0</v>
          </cell>
          <cell r="K20">
            <v>301818545.39722675</v>
          </cell>
          <cell r="M20">
            <v>-4238302.9779185029</v>
          </cell>
          <cell r="N20">
            <v>9787531.1178065389</v>
          </cell>
          <cell r="O20">
            <v>1432546.3677501904</v>
          </cell>
          <cell r="P20">
            <v>3916638.3059999999</v>
          </cell>
          <cell r="Q20">
            <v>6671472.5054249996</v>
          </cell>
          <cell r="R20">
            <v>12020657.179175191</v>
          </cell>
        </row>
        <row r="21">
          <cell r="A21">
            <v>2040</v>
          </cell>
          <cell r="B21">
            <v>278022430.73023999</v>
          </cell>
          <cell r="C21">
            <v>36615529.156266682</v>
          </cell>
          <cell r="D21">
            <v>314637959.88650668</v>
          </cell>
          <cell r="E21">
            <v>149446962</v>
          </cell>
          <cell r="F21">
            <v>64048697.999999993</v>
          </cell>
          <cell r="G21">
            <v>53709600</v>
          </cell>
          <cell r="H21">
            <v>581843219.88650668</v>
          </cell>
          <cell r="J21">
            <v>-6328279.9103999734</v>
          </cell>
          <cell r="K21">
            <v>295490265.48682678</v>
          </cell>
          <cell r="M21">
            <v>-4149437.7706660787</v>
          </cell>
          <cell r="N21">
            <v>9367833.2365434617</v>
          </cell>
          <cell r="O21">
            <v>1432546.3677501904</v>
          </cell>
          <cell r="P21">
            <v>3730131.72</v>
          </cell>
          <cell r="Q21">
            <v>6671472.5054249996</v>
          </cell>
          <cell r="R21">
            <v>11834150.593175191</v>
          </cell>
        </row>
        <row r="22">
          <cell r="A22">
            <v>2041</v>
          </cell>
          <cell r="B22">
            <v>271694150.81984001</v>
          </cell>
          <cell r="C22">
            <v>36615529.156266682</v>
          </cell>
          <cell r="D22">
            <v>308309679.9761067</v>
          </cell>
          <cell r="E22">
            <v>161900875.5</v>
          </cell>
          <cell r="F22">
            <v>69386089.5</v>
          </cell>
          <cell r="G22">
            <v>49681380</v>
          </cell>
          <cell r="H22">
            <v>589278024.97610664</v>
          </cell>
          <cell r="J22">
            <v>6328279.9103999734</v>
          </cell>
          <cell r="K22">
            <v>301818545.39722675</v>
          </cell>
          <cell r="M22">
            <v>-4238302.9779185029</v>
          </cell>
          <cell r="N22">
            <v>9714052.5299999993</v>
          </cell>
          <cell r="O22">
            <v>1432546.3677501904</v>
          </cell>
          <cell r="P22">
            <v>3450371.841</v>
          </cell>
          <cell r="Q22">
            <v>7227428.5475437511</v>
          </cell>
          <cell r="R22">
            <v>12110346.756293941</v>
          </cell>
        </row>
        <row r="23">
          <cell r="A23">
            <v>2042</v>
          </cell>
          <cell r="B23">
            <v>265365870.90943998</v>
          </cell>
          <cell r="C23">
            <v>36615529.156266682</v>
          </cell>
          <cell r="D23">
            <v>301981400.06570667</v>
          </cell>
          <cell r="E23">
            <v>174354789</v>
          </cell>
          <cell r="F23">
            <v>74723481</v>
          </cell>
          <cell r="G23">
            <v>45653160</v>
          </cell>
          <cell r="H23">
            <v>596712830.06570673</v>
          </cell>
          <cell r="J23">
            <v>6328279.910400033</v>
          </cell>
          <cell r="K23">
            <v>308146825.30762678</v>
          </cell>
          <cell r="M23">
            <v>-4327168.1851709299</v>
          </cell>
          <cell r="N23">
            <v>10015230.25265763</v>
          </cell>
          <cell r="O23">
            <v>1432546.3677501904</v>
          </cell>
          <cell r="P23">
            <v>3170611.9619999998</v>
          </cell>
          <cell r="Q23">
            <v>7783384.5896624997</v>
          </cell>
          <cell r="R23">
            <v>12386542.919412691</v>
          </cell>
        </row>
        <row r="24">
          <cell r="A24">
            <v>2043</v>
          </cell>
          <cell r="B24">
            <v>237943324.63103995</v>
          </cell>
          <cell r="C24">
            <v>36615529.156266682</v>
          </cell>
          <cell r="D24">
            <v>274558853.78730661</v>
          </cell>
          <cell r="E24">
            <v>186808702.5</v>
          </cell>
          <cell r="F24">
            <v>80060872.5</v>
          </cell>
          <cell r="G24">
            <v>50576540.00000003</v>
          </cell>
          <cell r="H24">
            <v>592004968.78730655</v>
          </cell>
          <cell r="J24">
            <v>27422546.278400064</v>
          </cell>
          <cell r="K24">
            <v>335569371.58602685</v>
          </cell>
          <cell r="M24">
            <v>-4712250.7499314416</v>
          </cell>
          <cell r="N24">
            <v>10274478.637499999</v>
          </cell>
          <cell r="O24">
            <v>1432546.3677501904</v>
          </cell>
          <cell r="P24">
            <v>3512540.7030000025</v>
          </cell>
          <cell r="Q24">
            <v>8339340.6317812502</v>
          </cell>
          <cell r="R24">
            <v>13284427.702531442</v>
          </cell>
        </row>
        <row r="25">
          <cell r="A25">
            <v>2044</v>
          </cell>
          <cell r="B25">
            <v>210520778.35264</v>
          </cell>
          <cell r="C25">
            <v>36615529.156266682</v>
          </cell>
          <cell r="D25">
            <v>247136307.50890669</v>
          </cell>
          <cell r="E25">
            <v>199262616</v>
          </cell>
          <cell r="F25">
            <v>85398263.999999985</v>
          </cell>
          <cell r="G25">
            <v>55499919.99999997</v>
          </cell>
          <cell r="H25">
            <v>587297107.50890672</v>
          </cell>
          <cell r="J25">
            <v>27422546.278399915</v>
          </cell>
          <cell r="K25">
            <v>362991917.86442673</v>
          </cell>
          <cell r="M25">
            <v>-5097333.3146919496</v>
          </cell>
          <cell r="N25">
            <v>10494498.44020872</v>
          </cell>
          <cell r="O25">
            <v>1432546.3677501904</v>
          </cell>
          <cell r="P25">
            <v>3854469.4439999983</v>
          </cell>
          <cell r="Q25">
            <v>8895296.6738999989</v>
          </cell>
          <cell r="R25">
            <v>14182312.485650187</v>
          </cell>
        </row>
        <row r="26">
          <cell r="A26">
            <v>2045</v>
          </cell>
          <cell r="B26">
            <v>183098232.07423997</v>
          </cell>
          <cell r="C26">
            <v>36615529.156266682</v>
          </cell>
          <cell r="D26">
            <v>219713761.23050666</v>
          </cell>
          <cell r="E26">
            <v>199262616</v>
          </cell>
          <cell r="F26">
            <v>85398263.999999985</v>
          </cell>
          <cell r="G26">
            <v>67137000</v>
          </cell>
          <cell r="H26">
            <v>571511641.23050666</v>
          </cell>
          <cell r="J26">
            <v>27422546.278400034</v>
          </cell>
          <cell r="K26">
            <v>390414464.1428268</v>
          </cell>
          <cell r="M26">
            <v>-5482415.8794524623</v>
          </cell>
          <cell r="N26">
            <v>10051139.119608719</v>
          </cell>
          <cell r="O26">
            <v>1432546.3677501904</v>
          </cell>
          <cell r="P26">
            <v>4662664.6500000004</v>
          </cell>
          <cell r="Q26">
            <v>8895296.6738999989</v>
          </cell>
          <cell r="R26">
            <v>14990507.691650189</v>
          </cell>
        </row>
        <row r="27">
          <cell r="A27">
            <v>2046</v>
          </cell>
          <cell r="B27">
            <v>176769952.16383997</v>
          </cell>
          <cell r="C27">
            <v>36615529.156266682</v>
          </cell>
          <cell r="D27">
            <v>213385481.32010666</v>
          </cell>
          <cell r="E27">
            <v>199262616</v>
          </cell>
          <cell r="F27">
            <v>85398263.999999985</v>
          </cell>
          <cell r="G27">
            <v>69822480</v>
          </cell>
          <cell r="H27">
            <v>567868841.32010663</v>
          </cell>
          <cell r="J27">
            <v>6328279.9104000032</v>
          </cell>
          <cell r="K27">
            <v>396742744.05322683</v>
          </cell>
          <cell r="M27">
            <v>-5571281.0867048874</v>
          </cell>
          <cell r="N27">
            <v>9627706.0606087185</v>
          </cell>
          <cell r="O27">
            <v>1432546.3677501904</v>
          </cell>
          <cell r="P27">
            <v>4849171.2359999996</v>
          </cell>
          <cell r="Q27">
            <v>8895296.6738999989</v>
          </cell>
          <cell r="R27">
            <v>15177014.277650189</v>
          </cell>
        </row>
        <row r="28">
          <cell r="A28">
            <v>2047</v>
          </cell>
          <cell r="B28">
            <v>170441672.25343999</v>
          </cell>
          <cell r="C28">
            <v>36615529.156266682</v>
          </cell>
          <cell r="D28">
            <v>207057201.40970668</v>
          </cell>
          <cell r="E28">
            <v>199262616</v>
          </cell>
          <cell r="F28">
            <v>85398263.999999985</v>
          </cell>
          <cell r="G28">
            <v>72507960</v>
          </cell>
          <cell r="H28">
            <v>564226041.40970671</v>
          </cell>
          <cell r="J28">
            <v>6328279.9103999734</v>
          </cell>
          <cell r="K28">
            <v>403071023.9636268</v>
          </cell>
          <cell r="M28">
            <v>-5660146.2939573135</v>
          </cell>
          <cell r="N28">
            <v>9220877.555399999</v>
          </cell>
          <cell r="O28">
            <v>1432546.3677501904</v>
          </cell>
          <cell r="P28">
            <v>5035677.8219999997</v>
          </cell>
          <cell r="Q28">
            <v>8895296.6738999989</v>
          </cell>
          <cell r="R28">
            <v>15363520.863650188</v>
          </cell>
        </row>
        <row r="29">
          <cell r="A29">
            <v>2048</v>
          </cell>
          <cell r="B29">
            <v>138800272.70143998</v>
          </cell>
          <cell r="C29">
            <v>36615529.156266682</v>
          </cell>
          <cell r="D29">
            <v>175415801.85770667</v>
          </cell>
          <cell r="E29">
            <v>219188877.60000002</v>
          </cell>
          <cell r="F29">
            <v>93938090.399999991</v>
          </cell>
          <cell r="G29">
            <v>75193440</v>
          </cell>
          <cell r="H29">
            <v>563736209.85770667</v>
          </cell>
          <cell r="J29">
            <v>31641399.552000016</v>
          </cell>
          <cell r="K29">
            <v>434712423.51562679</v>
          </cell>
          <cell r="M29">
            <v>-6104472.3302194402</v>
          </cell>
          <cell r="N29">
            <v>9715546.9996200018</v>
          </cell>
          <cell r="O29">
            <v>1432546.3677501904</v>
          </cell>
          <cell r="P29">
            <v>5222184.4079999998</v>
          </cell>
          <cell r="Q29">
            <v>9784826.341289999</v>
          </cell>
          <cell r="R29">
            <v>16439557.117040189</v>
          </cell>
        </row>
        <row r="30">
          <cell r="A30">
            <v>2049</v>
          </cell>
          <cell r="B30">
            <v>107158873.14943999</v>
          </cell>
          <cell r="C30">
            <v>36615529.156266682</v>
          </cell>
          <cell r="D30">
            <v>143774402.30570668</v>
          </cell>
          <cell r="E30">
            <v>239115139.20000002</v>
          </cell>
          <cell r="F30">
            <v>102477916.8</v>
          </cell>
          <cell r="G30">
            <v>77878920</v>
          </cell>
          <cell r="H30">
            <v>563246378.30570674</v>
          </cell>
          <cell r="J30">
            <v>31641399.551999986</v>
          </cell>
          <cell r="K30">
            <v>466353823.06762677</v>
          </cell>
          <cell r="M30">
            <v>-6548798.3664815687</v>
          </cell>
          <cell r="N30">
            <v>10152429.488149539</v>
          </cell>
          <cell r="O30">
            <v>1432546.3677501904</v>
          </cell>
          <cell r="P30">
            <v>5408690.9939999999</v>
          </cell>
          <cell r="Q30">
            <v>10674356.008680001</v>
          </cell>
          <cell r="R30">
            <v>17515593.37043019</v>
          </cell>
        </row>
        <row r="31">
          <cell r="A31">
            <v>2050</v>
          </cell>
          <cell r="B31">
            <v>88174033.418239981</v>
          </cell>
          <cell r="C31">
            <v>36615529.156266682</v>
          </cell>
          <cell r="D31">
            <v>124789562.57450667</v>
          </cell>
          <cell r="E31">
            <v>249078270.00000003</v>
          </cell>
          <cell r="F31">
            <v>106747829.99999999</v>
          </cell>
          <cell r="G31">
            <v>80564400</v>
          </cell>
          <cell r="H31">
            <v>561180062.57450676</v>
          </cell>
          <cell r="J31">
            <v>18984839.73120001</v>
          </cell>
          <cell r="K31">
            <v>485338662.79882681</v>
          </cell>
          <cell r="M31">
            <v>-6815393.988238845</v>
          </cell>
          <cell r="N31">
            <v>10131258.63225</v>
          </cell>
          <cell r="O31">
            <v>1432546.3677501904</v>
          </cell>
          <cell r="P31">
            <v>5595197.5800000001</v>
          </cell>
          <cell r="Q31">
            <v>11119120.842374997</v>
          </cell>
          <cell r="R31">
            <v>18146864.790125187</v>
          </cell>
        </row>
      </sheetData>
      <sheetData sheetId="6"/>
      <sheetData sheetId="7">
        <row r="1">
          <cell r="C1">
            <v>2025</v>
          </cell>
          <cell r="D1">
            <v>2026</v>
          </cell>
          <cell r="E1">
            <v>2027</v>
          </cell>
          <cell r="F1">
            <v>2028</v>
          </cell>
          <cell r="G1">
            <v>2029</v>
          </cell>
          <cell r="H1">
            <v>2030</v>
          </cell>
          <cell r="I1">
            <v>2031</v>
          </cell>
          <cell r="J1">
            <v>2032</v>
          </cell>
          <cell r="K1">
            <v>2033</v>
          </cell>
          <cell r="L1">
            <v>2034</v>
          </cell>
          <cell r="M1">
            <v>2035</v>
          </cell>
          <cell r="N1">
            <v>2036</v>
          </cell>
          <cell r="O1">
            <v>2037</v>
          </cell>
          <cell r="P1">
            <v>2038</v>
          </cell>
          <cell r="Q1">
            <v>2039</v>
          </cell>
          <cell r="R1">
            <v>2040</v>
          </cell>
          <cell r="S1">
            <v>2041</v>
          </cell>
          <cell r="T1">
            <v>2042</v>
          </cell>
          <cell r="U1">
            <v>2043</v>
          </cell>
          <cell r="V1">
            <v>2044</v>
          </cell>
          <cell r="W1">
            <v>2045</v>
          </cell>
          <cell r="X1">
            <v>2046</v>
          </cell>
          <cell r="Y1">
            <v>2047</v>
          </cell>
          <cell r="Z1">
            <v>2048</v>
          </cell>
          <cell r="AA1">
            <v>2049</v>
          </cell>
          <cell r="AB1">
            <v>2050</v>
          </cell>
        </row>
        <row r="2">
          <cell r="C2">
            <v>0.34100000000000003</v>
          </cell>
          <cell r="D2">
            <v>0.34100000000000003</v>
          </cell>
          <cell r="E2">
            <v>0.34100000000000003</v>
          </cell>
          <cell r="F2">
            <v>0.34100000000000003</v>
          </cell>
          <cell r="G2">
            <v>0.34100000000000003</v>
          </cell>
          <cell r="H2">
            <v>0.34100000000000003</v>
          </cell>
          <cell r="I2">
            <v>0.34599999999999997</v>
          </cell>
          <cell r="J2">
            <v>0.34599999999999997</v>
          </cell>
          <cell r="K2">
            <v>0.34599999999999997</v>
          </cell>
          <cell r="L2">
            <v>0.34599999999999997</v>
          </cell>
          <cell r="M2">
            <v>0.34599999999999997</v>
          </cell>
          <cell r="N2">
            <v>0.34599999999999997</v>
          </cell>
          <cell r="O2">
            <v>0.34599999999999997</v>
          </cell>
          <cell r="P2">
            <v>0.34599999999999997</v>
          </cell>
          <cell r="Q2">
            <v>0.34599999999999997</v>
          </cell>
          <cell r="R2">
            <v>0.34599999999999997</v>
          </cell>
          <cell r="S2">
            <v>0.379</v>
          </cell>
          <cell r="T2">
            <v>0.379</v>
          </cell>
          <cell r="U2">
            <v>0.379</v>
          </cell>
          <cell r="V2">
            <v>0.379</v>
          </cell>
          <cell r="W2">
            <v>0.379</v>
          </cell>
          <cell r="X2">
            <v>0.379</v>
          </cell>
          <cell r="Y2">
            <v>0.379</v>
          </cell>
          <cell r="Z2">
            <v>0.379</v>
          </cell>
          <cell r="AA2">
            <v>0.379</v>
          </cell>
          <cell r="AB2">
            <v>0.379</v>
          </cell>
        </row>
        <row r="3">
          <cell r="C3">
            <v>0.104</v>
          </cell>
          <cell r="D3">
            <v>0.104</v>
          </cell>
          <cell r="E3">
            <v>0.104</v>
          </cell>
          <cell r="F3">
            <v>0.104</v>
          </cell>
          <cell r="G3">
            <v>0.104</v>
          </cell>
          <cell r="H3">
            <v>0.104</v>
          </cell>
          <cell r="I3">
            <v>8.5999999999999993E-2</v>
          </cell>
          <cell r="J3">
            <v>8.5999999999999993E-2</v>
          </cell>
          <cell r="K3">
            <v>8.5999999999999993E-2</v>
          </cell>
          <cell r="L3">
            <v>8.5999999999999993E-2</v>
          </cell>
          <cell r="M3">
            <v>8.5999999999999993E-2</v>
          </cell>
          <cell r="N3">
            <v>8.5999999999999993E-2</v>
          </cell>
          <cell r="O3">
            <v>8.5999999999999993E-2</v>
          </cell>
          <cell r="P3">
            <v>8.5999999999999993E-2</v>
          </cell>
          <cell r="Q3">
            <v>8.5999999999999993E-2</v>
          </cell>
          <cell r="R3">
            <v>8.5999999999999993E-2</v>
          </cell>
          <cell r="S3">
            <v>8.6999999999999994E-2</v>
          </cell>
          <cell r="T3">
            <v>8.6999999999999994E-2</v>
          </cell>
          <cell r="U3">
            <v>8.6999999999999994E-2</v>
          </cell>
          <cell r="V3">
            <v>8.6999999999999994E-2</v>
          </cell>
          <cell r="W3">
            <v>8.6999999999999994E-2</v>
          </cell>
          <cell r="X3">
            <v>8.6999999999999994E-2</v>
          </cell>
          <cell r="Y3">
            <v>8.6999999999999994E-2</v>
          </cell>
          <cell r="Z3">
            <v>8.6999999999999994E-2</v>
          </cell>
          <cell r="AA3">
            <v>8.6999999999999994E-2</v>
          </cell>
          <cell r="AB3">
            <v>8.6999999999999994E-2</v>
          </cell>
        </row>
        <row r="4">
          <cell r="C4">
            <v>0.112</v>
          </cell>
          <cell r="D4">
            <v>0.112</v>
          </cell>
          <cell r="E4">
            <v>0.112</v>
          </cell>
          <cell r="F4">
            <v>0.112</v>
          </cell>
          <cell r="G4">
            <v>0.112</v>
          </cell>
          <cell r="H4">
            <v>0.112</v>
          </cell>
          <cell r="I4">
            <v>0.109</v>
          </cell>
          <cell r="J4">
            <v>0.109</v>
          </cell>
          <cell r="K4">
            <v>0.109</v>
          </cell>
          <cell r="L4">
            <v>0.109</v>
          </cell>
          <cell r="M4">
            <v>0.109</v>
          </cell>
          <cell r="N4">
            <v>0.109</v>
          </cell>
          <cell r="O4">
            <v>0.109</v>
          </cell>
          <cell r="P4">
            <v>0.109</v>
          </cell>
          <cell r="Q4">
            <v>0.109</v>
          </cell>
          <cell r="R4">
            <v>0.109</v>
          </cell>
          <cell r="S4">
            <v>9.9000000000000005E-2</v>
          </cell>
          <cell r="T4">
            <v>9.9000000000000005E-2</v>
          </cell>
          <cell r="U4">
            <v>9.9000000000000005E-2</v>
          </cell>
          <cell r="V4">
            <v>9.9000000000000005E-2</v>
          </cell>
          <cell r="W4">
            <v>9.9000000000000005E-2</v>
          </cell>
          <cell r="X4">
            <v>9.9000000000000005E-2</v>
          </cell>
          <cell r="Y4">
            <v>9.9000000000000005E-2</v>
          </cell>
          <cell r="Z4">
            <v>9.9000000000000005E-2</v>
          </cell>
          <cell r="AA4">
            <v>9.9000000000000005E-2</v>
          </cell>
          <cell r="AB4">
            <v>9.9000000000000005E-2</v>
          </cell>
        </row>
        <row r="5">
          <cell r="C5">
            <v>0.44400000000000001</v>
          </cell>
          <cell r="D5">
            <v>0.44400000000000001</v>
          </cell>
          <cell r="E5">
            <v>0.44400000000000001</v>
          </cell>
          <cell r="F5">
            <v>0.44400000000000001</v>
          </cell>
          <cell r="G5">
            <v>0.44400000000000001</v>
          </cell>
          <cell r="H5">
            <v>0.44400000000000001</v>
          </cell>
          <cell r="I5">
            <v>0.45900000000000002</v>
          </cell>
          <cell r="J5">
            <v>0.45900000000000002</v>
          </cell>
          <cell r="K5">
            <v>0.45900000000000002</v>
          </cell>
          <cell r="L5">
            <v>0.45900000000000002</v>
          </cell>
          <cell r="M5">
            <v>0.45900000000000002</v>
          </cell>
          <cell r="N5">
            <v>0.45900000000000002</v>
          </cell>
          <cell r="O5">
            <v>0.45900000000000002</v>
          </cell>
          <cell r="P5">
            <v>0.45900000000000002</v>
          </cell>
          <cell r="Q5">
            <v>0.45900000000000002</v>
          </cell>
          <cell r="R5">
            <v>0.45900000000000002</v>
          </cell>
          <cell r="S5">
            <v>0.435</v>
          </cell>
          <cell r="T5">
            <v>0.435</v>
          </cell>
          <cell r="U5">
            <v>0.435</v>
          </cell>
          <cell r="V5">
            <v>0.435</v>
          </cell>
          <cell r="W5">
            <v>0.435</v>
          </cell>
          <cell r="X5">
            <v>0.435</v>
          </cell>
          <cell r="Y5">
            <v>0.435</v>
          </cell>
          <cell r="Z5">
            <v>0.435</v>
          </cell>
          <cell r="AA5">
            <v>0.435</v>
          </cell>
          <cell r="AB5">
            <v>0.435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FD328-2ECD-6040-9B61-33FDE846DEBF}">
  <dimension ref="A1:AA1000"/>
  <sheetViews>
    <sheetView tabSelected="1" workbookViewId="0"/>
  </sheetViews>
  <sheetFormatPr baseColWidth="10" defaultColWidth="11.1640625" defaultRowHeight="15" customHeight="1" x14ac:dyDescent="0.2"/>
  <cols>
    <col min="1" max="2" width="10.5" customWidth="1"/>
    <col min="3" max="27" width="16.33203125" customWidth="1"/>
  </cols>
  <sheetData>
    <row r="1" spans="1:27" ht="15.75" customHeight="1" x14ac:dyDescent="0.2">
      <c r="A1" s="1" t="s">
        <v>0</v>
      </c>
      <c r="B1" s="1" t="s">
        <v>1</v>
      </c>
      <c r="C1" s="1">
        <v>2026</v>
      </c>
      <c r="D1" s="1">
        <v>2027</v>
      </c>
      <c r="E1" s="1">
        <v>2028</v>
      </c>
      <c r="F1" s="1">
        <v>2029</v>
      </c>
      <c r="G1" s="1">
        <v>2030</v>
      </c>
      <c r="H1" s="1">
        <v>2031</v>
      </c>
      <c r="I1" s="1">
        <v>2032</v>
      </c>
      <c r="J1" s="1">
        <v>2033</v>
      </c>
      <c r="K1" s="1">
        <v>2034</v>
      </c>
      <c r="L1" s="1">
        <v>2035</v>
      </c>
      <c r="M1" s="1">
        <v>2036</v>
      </c>
      <c r="N1" s="1">
        <v>2037</v>
      </c>
      <c r="O1" s="1">
        <v>2038</v>
      </c>
      <c r="P1" s="1">
        <v>2039</v>
      </c>
      <c r="Q1" s="1">
        <v>2040</v>
      </c>
      <c r="R1" s="1">
        <v>2041</v>
      </c>
      <c r="S1" s="1">
        <v>2042</v>
      </c>
      <c r="T1" s="1">
        <v>2043</v>
      </c>
      <c r="U1" s="1">
        <v>2044</v>
      </c>
      <c r="V1" s="1">
        <v>2045</v>
      </c>
      <c r="W1" s="1">
        <v>2046</v>
      </c>
      <c r="X1" s="1">
        <v>2047</v>
      </c>
      <c r="Y1" s="1">
        <v>2048</v>
      </c>
      <c r="Z1" s="1">
        <v>2049</v>
      </c>
      <c r="AA1" s="1">
        <v>2050</v>
      </c>
    </row>
    <row r="2" spans="1:27" ht="15.75" customHeight="1" x14ac:dyDescent="0.2">
      <c r="A2" s="1" t="s">
        <v>2</v>
      </c>
      <c r="B2" s="2" t="s">
        <v>3</v>
      </c>
      <c r="C2" s="3">
        <f>'[1]raw data_2cbam'!M7</f>
        <v>-890489.65811501467</v>
      </c>
      <c r="D2" s="3">
        <f>'[1]raw data_2cbam'!M8</f>
        <v>-1085959.6707022907</v>
      </c>
      <c r="E2" s="3">
        <f>'[1]raw data_2cbam'!M9</f>
        <v>-1279570.0598119088</v>
      </c>
      <c r="F2" s="3">
        <f>'[1]raw data_2cbam'!M10</f>
        <v>-1471320.8254438662</v>
      </c>
      <c r="G2" s="3">
        <f>'[1]raw data_2cbam'!M11</f>
        <v>-1661211.9675981635</v>
      </c>
      <c r="H2" s="3">
        <f>'[1]raw data_2cbam'!M12</f>
        <v>-1803396.2992020438</v>
      </c>
      <c r="I2" s="3">
        <f>'[1]raw data_2cbam'!M13</f>
        <v>-1945580.6308059252</v>
      </c>
      <c r="J2" s="3">
        <f>'[1]raw data_2cbam'!M14</f>
        <v>-2354360.5841670828</v>
      </c>
      <c r="K2" s="3">
        <f>'[1]raw data_2cbam'!M15</f>
        <v>-2763140.5375282406</v>
      </c>
      <c r="L2" s="3">
        <f>'[1]raw data_2cbam'!M16</f>
        <v>-3260785.6981418226</v>
      </c>
      <c r="M2" s="3">
        <f>'[1]raw data_2cbam'!M17</f>
        <v>-4149437.7706660787</v>
      </c>
      <c r="N2" s="3">
        <f>'[1]raw data_2cbam'!M18</f>
        <v>-4149437.7706660787</v>
      </c>
      <c r="O2" s="3">
        <f>'[1]raw data_2cbam'!M19</f>
        <v>-4238302.9779185029</v>
      </c>
      <c r="P2" s="3">
        <f>'[1]raw data_2cbam'!M20</f>
        <v>-4238302.9779185029</v>
      </c>
      <c r="Q2" s="3">
        <f>'[1]raw data_2cbam'!M21</f>
        <v>-4149437.7706660787</v>
      </c>
      <c r="R2" s="3">
        <f>'[1]raw data_2cbam'!M22</f>
        <v>-4238302.9779185029</v>
      </c>
      <c r="S2" s="3">
        <f>'[1]raw data_2cbam'!M23</f>
        <v>-4327168.1851709299</v>
      </c>
      <c r="T2" s="3">
        <f>'[1]raw data_2cbam'!M24</f>
        <v>-4712250.7499314416</v>
      </c>
      <c r="U2" s="3">
        <f>'[1]raw data_2cbam'!M25</f>
        <v>-5097333.3146919496</v>
      </c>
      <c r="V2" s="3">
        <f>'[1]raw data_2cbam'!M26</f>
        <v>-5482415.8794524623</v>
      </c>
      <c r="W2" s="3">
        <f>'[1]raw data_2cbam'!M27</f>
        <v>-5571281.0867048874</v>
      </c>
      <c r="X2" s="3">
        <f>'[1]raw data_2cbam'!M28</f>
        <v>-5660146.2939573135</v>
      </c>
      <c r="Y2" s="3">
        <f>'[1]raw data_2cbam'!M29</f>
        <v>-6104472.3302194402</v>
      </c>
      <c r="Z2" s="3">
        <f>'[1]raw data_2cbam'!M30</f>
        <v>-6548798.3664815687</v>
      </c>
      <c r="AA2" s="3">
        <f>'[1]raw data_2cbam'!M31</f>
        <v>-6815393.988238845</v>
      </c>
    </row>
    <row r="3" spans="1:27" ht="15.75" customHeight="1" x14ac:dyDescent="0.2">
      <c r="A3" s="1" t="s">
        <v>2</v>
      </c>
      <c r="B3" s="2" t="s">
        <v>4</v>
      </c>
      <c r="C3" s="3">
        <f>VLOOKUP(C1,'[1]raw data_2cbam'!$A$6:$R$31,18)</f>
        <v>3717128.2231801376</v>
      </c>
      <c r="D3" s="3">
        <f>VLOOKUP(D1,'[1]raw data_2cbam'!$A$6:$R$31,18)</f>
        <v>3784270.5941401375</v>
      </c>
      <c r="E3" s="3">
        <f>VLOOKUP(E1,'[1]raw data_2cbam'!$A$6:$R$31,18)</f>
        <v>4065380.3520501442</v>
      </c>
      <c r="F3" s="3">
        <f>VLOOKUP(F1,'[1]raw data_2cbam'!$A$6:$R$31,18)</f>
        <v>4353950.3734001527</v>
      </c>
      <c r="G3" s="3">
        <f>VLOOKUP(G1,'[1]raw data_2cbam'!$A$6:$R$31,18)</f>
        <v>4649980.6581901591</v>
      </c>
      <c r="H3" s="3">
        <f>VLOOKUP(H1,'[1]raw data_2cbam'!$A$6:$R$31,18)</f>
        <v>4900645.5097741606</v>
      </c>
      <c r="I3" s="3">
        <f>VLOOKUP(I1,'[1]raw data_2cbam'!$A$6:$R$31,18)</f>
        <v>5396610.8547561672</v>
      </c>
      <c r="J3" s="3">
        <f>VLOOKUP(J1,'[1]raw data_2cbam'!$A$6:$R$31,18)</f>
        <v>6530224.5132452752</v>
      </c>
      <c r="K3" s="3">
        <f>VLOOKUP(K1,'[1]raw data_2cbam'!$A$6:$R$31,18)</f>
        <v>7741082.7947857836</v>
      </c>
      <c r="L3" s="3">
        <f>VLOOKUP(L1,'[1]raw data_2cbam'!$A$6:$R$31,18)</f>
        <v>9251568.1162251905</v>
      </c>
      <c r="M3" s="3">
        <f>VLOOKUP(M1,'[1]raw data_2cbam'!$A$6:$R$31,18)</f>
        <v>11296013.130462689</v>
      </c>
      <c r="N3" s="3">
        <f>VLOOKUP(N1,'[1]raw data_2cbam'!$A$6:$R$31,18)</f>
        <v>11475392.284700189</v>
      </c>
      <c r="O3" s="3">
        <f>VLOOKUP(O1,'[1]raw data_2cbam'!$A$6:$R$31,18)</f>
        <v>11841278.024937689</v>
      </c>
      <c r="P3" s="3">
        <f>VLOOKUP(P1,'[1]raw data_2cbam'!$A$6:$R$31,18)</f>
        <v>12020657.179175191</v>
      </c>
      <c r="Q3" s="3">
        <f>VLOOKUP(Q1,'[1]raw data_2cbam'!$A$6:$R$31,18)</f>
        <v>11834150.593175191</v>
      </c>
      <c r="R3" s="3">
        <f>VLOOKUP(R1,'[1]raw data_2cbam'!$A$6:$R$31,18)</f>
        <v>12110346.756293941</v>
      </c>
      <c r="S3" s="3">
        <f>VLOOKUP(S1,'[1]raw data_2cbam'!$A$6:$R$31,18)</f>
        <v>12386542.919412691</v>
      </c>
      <c r="T3" s="3">
        <f>VLOOKUP(T1,'[1]raw data_2cbam'!$A$6:$R$31,18)</f>
        <v>13284427.702531442</v>
      </c>
      <c r="U3" s="3">
        <f>VLOOKUP(U1,'[1]raw data_2cbam'!$A$6:$R$31,18)</f>
        <v>14182312.485650187</v>
      </c>
      <c r="V3" s="3">
        <f>VLOOKUP(V1,'[1]raw data_2cbam'!$A$6:$R$31,18)</f>
        <v>14990507.691650189</v>
      </c>
      <c r="W3" s="3">
        <f>VLOOKUP(W1,'[1]raw data_2cbam'!$A$6:$R$31,18)</f>
        <v>15177014.277650189</v>
      </c>
      <c r="X3" s="3">
        <f>VLOOKUP(X1,'[1]raw data_2cbam'!$A$6:$R$31,18)</f>
        <v>15363520.863650188</v>
      </c>
      <c r="Y3" s="3">
        <f>VLOOKUP(Y1,'[1]raw data_2cbam'!$A$6:$R$31,18)</f>
        <v>16439557.117040189</v>
      </c>
      <c r="Z3" s="3">
        <f>VLOOKUP(Z1,'[1]raw data_2cbam'!$A$6:$R$31,18)</f>
        <v>17515593.37043019</v>
      </c>
      <c r="AA3" s="3">
        <f>VLOOKUP(AA1,'[1]raw data_2cbam'!$A$6:$R$31,18)</f>
        <v>18146864.790125187</v>
      </c>
    </row>
    <row r="4" spans="1:27" ht="15.75" customHeight="1" x14ac:dyDescent="0.2">
      <c r="A4" s="1" t="s">
        <v>5</v>
      </c>
      <c r="B4" s="4" t="s">
        <v>6</v>
      </c>
      <c r="C4" s="3">
        <f>(VLOOKUP(C1,'[1]raw data_2cbam'!$A$6:$N$31,14))*HLOOKUP(C1,[1]h2portion!$C$1:$AB$5,3)/HLOOKUP(C1,[1]h2portion!$C$1:$AB$5,2)</f>
        <v>0</v>
      </c>
      <c r="D4" s="3">
        <f>(VLOOKUP(D1,'[1]raw data_2cbam'!$A$6:$N$31,14))*HLOOKUP(D1,[1]h2portion!$C$1:$AB$5,3)/HLOOKUP(D1,[1]h2portion!$C$1:$AB$5,2)</f>
        <v>0</v>
      </c>
      <c r="E4" s="3">
        <f>(VLOOKUP(E1,'[1]raw data_2cbam'!$A$6:$N$31,14))*HLOOKUP(E1,[1]h2portion!$C$1:$AB$5,3)/HLOOKUP(E1,[1]h2portion!$C$1:$AB$5,2)</f>
        <v>0</v>
      </c>
      <c r="F4" s="3">
        <f>(VLOOKUP(F1,'[1]raw data_2cbam'!$A$6:$N$31,14))*HLOOKUP(F1,[1]h2portion!$C$1:$AB$5,3)/HLOOKUP(F1,[1]h2portion!$C$1:$AB$5,2)</f>
        <v>0</v>
      </c>
      <c r="G4" s="3">
        <f>(VLOOKUP(G1,'[1]raw data_2cbam'!$A$6:$N$31,14))*HLOOKUP(G1,[1]h2portion!$C$1:$AB$5,3)/HLOOKUP(G1,[1]h2portion!$C$1:$AB$5,2)</f>
        <v>0</v>
      </c>
      <c r="H4" s="3">
        <f>(VLOOKUP(H1,'[1]raw data_2cbam'!$A$6:$N$31,14))*HLOOKUP(H1,[1]h2portion!$C$1:$AB$5,3)/HLOOKUP(H1,[1]h2portion!$C$1:$AB$5,2)</f>
        <v>0</v>
      </c>
      <c r="I4" s="3">
        <f>(VLOOKUP(I1,'[1]raw data_2cbam'!$A$6:$N$31,14))*HLOOKUP(I1,[1]h2portion!$C$1:$AB$5,3)/HLOOKUP(I1,[1]h2portion!$C$1:$AB$5,2)</f>
        <v>0</v>
      </c>
      <c r="J4" s="3">
        <f>(VLOOKUP(J1,'[1]raw data_2cbam'!$A$6:$N$31,14))*HLOOKUP(J1,[1]h2portion!$C$1:$AB$5,3)/HLOOKUP(J1,[1]h2portion!$C$1:$AB$5,2)</f>
        <v>293111.12045359472</v>
      </c>
      <c r="K4" s="3">
        <f>(VLOOKUP(K1,'[1]raw data_2cbam'!$A$6:$N$31,14))*HLOOKUP(K1,[1]h2portion!$C$1:$AB$5,3)/HLOOKUP(K1,[1]h2portion!$C$1:$AB$5,2)</f>
        <v>582693.39212239161</v>
      </c>
      <c r="L4" s="3">
        <f>(VLOOKUP(L1,'[1]raw data_2cbam'!$A$6:$N$31,14))*HLOOKUP(L1,[1]h2portion!$C$1:$AB$5,3)/HLOOKUP(L1,[1]h2portion!$C$1:$AB$5,2)</f>
        <v>958876.99323580193</v>
      </c>
      <c r="M4" s="3">
        <f>(VLOOKUP(M1,'[1]raw data_2cbam'!$A$6:$N$31,14))*HLOOKUP(M1,[1]h2portion!$C$1:$AB$5,3)/HLOOKUP(M1,[1]h2portion!$C$1:$AB$5,2)</f>
        <v>1418813.9570956107</v>
      </c>
      <c r="N4" s="3">
        <f>(VLOOKUP(N1,'[1]raw data_2cbam'!$A$6:$N$31,14))*HLOOKUP(N1,[1]h2portion!$C$1:$AB$5,3)/HLOOKUP(N1,[1]h2portion!$C$1:$AB$5,2)</f>
        <v>1771440.7343370665</v>
      </c>
      <c r="O4" s="3">
        <f>(VLOOKUP(O1,'[1]raw data_2cbam'!$A$6:$N$31,14))*HLOOKUP(O1,[1]h2portion!$C$1:$AB$5,3)/HLOOKUP(O1,[1]h2portion!$C$1:$AB$5,2)</f>
        <v>2118599.1579738981</v>
      </c>
      <c r="P4" s="3">
        <f>(VLOOKUP(P1,'[1]raw data_2cbam'!$A$6:$N$31,14))*HLOOKUP(P1,[1]h2portion!$C$1:$AB$5,3)/HLOOKUP(P1,[1]h2portion!$C$1:$AB$5,2)</f>
        <v>2432738.9483565385</v>
      </c>
      <c r="Q4" s="3">
        <f>(VLOOKUP(Q1,'[1]raw data_2cbam'!$A$6:$N$31,14))*HLOOKUP(Q1,[1]h2portion!$C$1:$AB$5,3)/HLOOKUP(Q1,[1]h2portion!$C$1:$AB$5,2)</f>
        <v>2328420.9778691838</v>
      </c>
      <c r="R4" s="3">
        <f>(VLOOKUP(R1,'[1]raw data_2cbam'!$A$6:$N$31,14))*HLOOKUP(R1,[1]h2portion!$C$1:$AB$5,3)/HLOOKUP(R1,[1]h2portion!$C$1:$AB$5,2)</f>
        <v>2229874.8551715035</v>
      </c>
      <c r="S4" s="3">
        <f>(VLOOKUP(S1,'[1]raw data_2cbam'!$A$6:$N$31,14))*HLOOKUP(S1,[1]h2portion!$C$1:$AB$5,3)/HLOOKUP(S1,[1]h2portion!$C$1:$AB$5,2)</f>
        <v>2299010.6384728593</v>
      </c>
      <c r="T4" s="3">
        <f>(VLOOKUP(T1,'[1]raw data_2cbam'!$A$6:$N$31,14))*HLOOKUP(T1,[1]h2portion!$C$1:$AB$5,3)/HLOOKUP(T1,[1]h2portion!$C$1:$AB$5,2)</f>
        <v>2358521.4814313981</v>
      </c>
      <c r="U4" s="3">
        <f>(VLOOKUP(U1,'[1]raw data_2cbam'!$A$6:$N$31,14))*HLOOKUP(U1,[1]h2portion!$C$1:$AB$5,3)/HLOOKUP(U1,[1]h2portion!$C$1:$AB$5,2)</f>
        <v>2409027.3464331361</v>
      </c>
      <c r="V4" s="3">
        <f>(VLOOKUP(V1,'[1]raw data_2cbam'!$A$6:$N$31,14))*HLOOKUP(V1,[1]h2portion!$C$1:$AB$5,3)/HLOOKUP(V1,[1]h2portion!$C$1:$AB$5,2)</f>
        <v>2307253.5709919748</v>
      </c>
      <c r="W4" s="3">
        <f>(VLOOKUP(W1,'[1]raw data_2cbam'!$A$6:$N$31,14))*HLOOKUP(W1,[1]h2portion!$C$1:$AB$5,3)/HLOOKUP(W1,[1]h2portion!$C$1:$AB$5,2)</f>
        <v>2210053.8978178324</v>
      </c>
      <c r="X4" s="3">
        <f>(VLOOKUP(X1,'[1]raw data_2cbam'!$A$6:$N$31,14))*HLOOKUP(X1,[1]h2portion!$C$1:$AB$5,3)/HLOOKUP(X1,[1]h2portion!$C$1:$AB$5,2)</f>
        <v>2116665.8240627963</v>
      </c>
      <c r="Y4" s="3">
        <f>(VLOOKUP(Y1,'[1]raw data_2cbam'!$A$6:$N$31,14))*HLOOKUP(Y1,[1]h2portion!$C$1:$AB$5,3)/HLOOKUP(Y1,[1]h2portion!$C$1:$AB$5,2)</f>
        <v>2230217.9128415305</v>
      </c>
      <c r="Z4" s="3">
        <f>(VLOOKUP(Z1,'[1]raw data_2cbam'!$A$6:$N$31,14))*HLOOKUP(Z1,[1]h2portion!$C$1:$AB$5,3)/HLOOKUP(Z1,[1]h2portion!$C$1:$AB$5,2)</f>
        <v>2330504.9220818202</v>
      </c>
      <c r="AA4" s="3">
        <f>(VLOOKUP(AA1,'[1]raw data_2cbam'!$A$6:$N$31,14))*HLOOKUP(AA1,[1]h2portion!$C$1:$AB$5,3)/HLOOKUP(AA1,[1]h2portion!$C$1:$AB$5,2)</f>
        <v>2325645.1213872028</v>
      </c>
    </row>
    <row r="5" spans="1:27" ht="15.75" customHeight="1" x14ac:dyDescent="0.2">
      <c r="A5" s="1" t="s">
        <v>5</v>
      </c>
      <c r="B5" s="4" t="s">
        <v>7</v>
      </c>
      <c r="C5" s="3">
        <f>(VLOOKUP(C1,'[1]raw data_2cbam'!$A$6:$N$31,14))*HLOOKUP(C1,[1]h2portion!$C$1:$AB$5,4)/HLOOKUP(C1,[1]h2portion!$C$1:$AB$5,2)</f>
        <v>0</v>
      </c>
      <c r="D5" s="3">
        <f>(VLOOKUP(D1,'[1]raw data_2cbam'!$A$6:$N$31,14))*HLOOKUP(D1,[1]h2portion!$C$1:$AB$5,4)/HLOOKUP(D1,[1]h2portion!$C$1:$AB$5,2)</f>
        <v>0</v>
      </c>
      <c r="E5" s="3">
        <f>(VLOOKUP(E1,'[1]raw data_2cbam'!$A$6:$N$31,14))*HLOOKUP(E1,[1]h2portion!$C$1:$AB$5,4)/HLOOKUP(E1,[1]h2portion!$C$1:$AB$5,2)</f>
        <v>0</v>
      </c>
      <c r="F5" s="3">
        <f>(VLOOKUP(F1,'[1]raw data_2cbam'!$A$6:$N$31,14))*HLOOKUP(F1,[1]h2portion!$C$1:$AB$5,4)/HLOOKUP(F1,[1]h2portion!$C$1:$AB$5,2)</f>
        <v>0</v>
      </c>
      <c r="G5" s="3">
        <f>(VLOOKUP(G1,'[1]raw data_2cbam'!$A$6:$N$31,14))*HLOOKUP(G1,[1]h2portion!$C$1:$AB$5,4)/HLOOKUP(G1,[1]h2portion!$C$1:$AB$5,2)</f>
        <v>0</v>
      </c>
      <c r="H5" s="3">
        <f>(VLOOKUP(H1,'[1]raw data_2cbam'!$A$6:$N$31,14))*HLOOKUP(H1,[1]h2portion!$C$1:$AB$5,4)/HLOOKUP(H1,[1]h2portion!$C$1:$AB$5,2)</f>
        <v>0</v>
      </c>
      <c r="I5" s="3">
        <f>(VLOOKUP(I1,'[1]raw data_2cbam'!$A$6:$N$31,14))*HLOOKUP(I1,[1]h2portion!$C$1:$AB$5,4)/HLOOKUP(I1,[1]h2portion!$C$1:$AB$5,2)</f>
        <v>0</v>
      </c>
      <c r="J5" s="3">
        <f>(VLOOKUP(J1,'[1]raw data_2cbam'!$A$6:$N$31,14))*HLOOKUP(J1,[1]h2portion!$C$1:$AB$5,4)/HLOOKUP(J1,[1]h2portion!$C$1:$AB$5,2)</f>
        <v>371501.30383071891</v>
      </c>
      <c r="K5" s="3">
        <f>(VLOOKUP(K1,'[1]raw data_2cbam'!$A$6:$N$31,14))*HLOOKUP(K1,[1]h2portion!$C$1:$AB$5,4)/HLOOKUP(K1,[1]h2portion!$C$1:$AB$5,2)</f>
        <v>738529.99699233368</v>
      </c>
      <c r="L5" s="3">
        <f>(VLOOKUP(L1,'[1]raw data_2cbam'!$A$6:$N$31,14))*HLOOKUP(L1,[1]h2portion!$C$1:$AB$5,4)/HLOOKUP(L1,[1]h2portion!$C$1:$AB$5,2)</f>
        <v>1215320.8402639816</v>
      </c>
      <c r="M5" s="3">
        <f>(VLOOKUP(M1,'[1]raw data_2cbam'!$A$6:$N$31,14))*HLOOKUP(M1,[1]h2portion!$C$1:$AB$5,4)/HLOOKUP(M1,[1]h2portion!$C$1:$AB$5,2)</f>
        <v>1798264.2014351345</v>
      </c>
      <c r="N5" s="3">
        <f>(VLOOKUP(N1,'[1]raw data_2cbam'!$A$6:$N$31,14))*HLOOKUP(N1,[1]h2portion!$C$1:$AB$5,4)/HLOOKUP(N1,[1]h2portion!$C$1:$AB$5,2)</f>
        <v>2245198.1400318639</v>
      </c>
      <c r="O5" s="3">
        <f>(VLOOKUP(O1,'[1]raw data_2cbam'!$A$6:$N$31,14))*HLOOKUP(O1,[1]h2portion!$C$1:$AB$5,4)/HLOOKUP(O1,[1]h2portion!$C$1:$AB$5,2)</f>
        <v>2685201.2583622662</v>
      </c>
      <c r="P5" s="3">
        <f>(VLOOKUP(P1,'[1]raw data_2cbam'!$A$6:$N$31,14))*HLOOKUP(P1,[1]h2portion!$C$1:$AB$5,4)/HLOOKUP(P1,[1]h2portion!$C$1:$AB$5,2)</f>
        <v>3083355.1787309614</v>
      </c>
      <c r="Q5" s="3">
        <f>(VLOOKUP(Q1,'[1]raw data_2cbam'!$A$6:$N$31,14))*HLOOKUP(Q1,[1]h2portion!$C$1:$AB$5,4)/HLOOKUP(Q1,[1]h2portion!$C$1:$AB$5,2)</f>
        <v>2951138.2161365245</v>
      </c>
      <c r="R5" s="3">
        <f>(VLOOKUP(R1,'[1]raw data_2cbam'!$A$6:$N$31,14))*HLOOKUP(R1,[1]h2portion!$C$1:$AB$5,4)/HLOOKUP(R1,[1]h2portion!$C$1:$AB$5,2)</f>
        <v>2537443.800712401</v>
      </c>
      <c r="S5" s="3">
        <f>(VLOOKUP(S1,'[1]raw data_2cbam'!$A$6:$N$31,14))*HLOOKUP(S1,[1]h2portion!$C$1:$AB$5,4)/HLOOKUP(S1,[1]h2portion!$C$1:$AB$5,2)</f>
        <v>2616115.5541242887</v>
      </c>
      <c r="T5" s="3">
        <f>(VLOOKUP(T1,'[1]raw data_2cbam'!$A$6:$N$31,14))*HLOOKUP(T1,[1]h2portion!$C$1:$AB$5,4)/HLOOKUP(T1,[1]h2portion!$C$1:$AB$5,2)</f>
        <v>2683834.7892150395</v>
      </c>
      <c r="U5" s="3">
        <f>(VLOOKUP(U1,'[1]raw data_2cbam'!$A$6:$N$31,14))*HLOOKUP(U1,[1]h2portion!$C$1:$AB$5,4)/HLOOKUP(U1,[1]h2portion!$C$1:$AB$5,2)</f>
        <v>2741306.9804239138</v>
      </c>
      <c r="V5" s="3">
        <f>(VLOOKUP(V1,'[1]raw data_2cbam'!$A$6:$N$31,14))*HLOOKUP(V1,[1]h2portion!$C$1:$AB$5,4)/HLOOKUP(V1,[1]h2portion!$C$1:$AB$5,2)</f>
        <v>2625495.4428529372</v>
      </c>
      <c r="W5" s="3">
        <f>(VLOOKUP(W1,'[1]raw data_2cbam'!$A$6:$N$31,14))*HLOOKUP(W1,[1]h2portion!$C$1:$AB$5,4)/HLOOKUP(W1,[1]h2portion!$C$1:$AB$5,2)</f>
        <v>2514888.9182064994</v>
      </c>
      <c r="X5" s="3">
        <f>(VLOOKUP(X1,'[1]raw data_2cbam'!$A$6:$N$31,14))*HLOOKUP(X1,[1]h2portion!$C$1:$AB$5,4)/HLOOKUP(X1,[1]h2portion!$C$1:$AB$5,2)</f>
        <v>2408619.7308300789</v>
      </c>
      <c r="Y5" s="3">
        <f>(VLOOKUP(Y1,'[1]raw data_2cbam'!$A$6:$N$31,14))*HLOOKUP(Y1,[1]h2portion!$C$1:$AB$5,4)/HLOOKUP(Y1,[1]h2portion!$C$1:$AB$5,2)</f>
        <v>2537834.1766817421</v>
      </c>
      <c r="Z5" s="3">
        <f>(VLOOKUP(Z1,'[1]raw data_2cbam'!$A$6:$N$31,14))*HLOOKUP(Z1,[1]h2portion!$C$1:$AB$5,4)/HLOOKUP(Z1,[1]h2portion!$C$1:$AB$5,2)</f>
        <v>2651953.8768517263</v>
      </c>
      <c r="AA5" s="3">
        <f>(VLOOKUP(AA1,'[1]raw data_2cbam'!$A$6:$N$31,14))*HLOOKUP(AA1,[1]h2portion!$C$1:$AB$5,4)/HLOOKUP(AA1,[1]h2portion!$C$1:$AB$5,2)</f>
        <v>2646423.7588199209</v>
      </c>
    </row>
    <row r="6" spans="1:27" ht="15.75" customHeight="1" x14ac:dyDescent="0.2">
      <c r="C6" s="3"/>
    </row>
    <row r="7" spans="1:27" ht="15.75" customHeight="1" x14ac:dyDescent="0.2">
      <c r="C7" s="3"/>
    </row>
    <row r="8" spans="1:27" ht="15.75" customHeight="1" x14ac:dyDescent="0.2">
      <c r="C8" s="3"/>
    </row>
    <row r="9" spans="1:27" ht="15.75" customHeight="1" x14ac:dyDescent="0.2"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5.75" customHeight="1" x14ac:dyDescent="0.2"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5.75" customHeight="1" x14ac:dyDescent="0.2"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5.75" customHeight="1" x14ac:dyDescent="0.2">
      <c r="C12" s="3"/>
    </row>
    <row r="13" spans="1:27" ht="15.75" customHeight="1" x14ac:dyDescent="0.2">
      <c r="C13" s="3"/>
    </row>
    <row r="14" spans="1:27" ht="15.75" customHeight="1" x14ac:dyDescent="0.2">
      <c r="C14" s="3"/>
    </row>
    <row r="15" spans="1:27" ht="15.75" customHeight="1" x14ac:dyDescent="0.2">
      <c r="C15" s="3"/>
    </row>
    <row r="16" spans="1:27" ht="15.75" customHeight="1" x14ac:dyDescent="0.2">
      <c r="C16" s="3"/>
    </row>
    <row r="17" spans="3:3" ht="15.75" customHeight="1" x14ac:dyDescent="0.2">
      <c r="C17" s="3"/>
    </row>
    <row r="18" spans="3:3" ht="15.75" customHeight="1" x14ac:dyDescent="0.2">
      <c r="C18" s="3"/>
    </row>
    <row r="19" spans="3:3" ht="15.75" customHeight="1" x14ac:dyDescent="0.2">
      <c r="C19" s="3"/>
    </row>
    <row r="20" spans="3:3" ht="15.75" customHeight="1" x14ac:dyDescent="0.2">
      <c r="C20" s="3"/>
    </row>
    <row r="21" spans="3:3" ht="15.75" customHeight="1" x14ac:dyDescent="0.2">
      <c r="C21" s="3"/>
    </row>
    <row r="22" spans="3:3" ht="15.75" customHeight="1" x14ac:dyDescent="0.2">
      <c r="C22" s="3"/>
    </row>
    <row r="23" spans="3:3" ht="15.75" customHeight="1" x14ac:dyDescent="0.2">
      <c r="C23" s="3"/>
    </row>
    <row r="24" spans="3:3" ht="15.75" customHeight="1" x14ac:dyDescent="0.2">
      <c r="C24" s="3"/>
    </row>
    <row r="25" spans="3:3" ht="15.75" customHeight="1" x14ac:dyDescent="0.2">
      <c r="C25" s="3"/>
    </row>
    <row r="26" spans="3:3" ht="15.75" customHeight="1" x14ac:dyDescent="0.2">
      <c r="C26" s="3"/>
    </row>
    <row r="27" spans="3:3" ht="15.75" customHeight="1" x14ac:dyDescent="0.2">
      <c r="C27" s="3"/>
    </row>
    <row r="28" spans="3:3" ht="15.75" customHeight="1" x14ac:dyDescent="0.2">
      <c r="C28" s="3"/>
    </row>
    <row r="29" spans="3:3" ht="15.75" customHeight="1" x14ac:dyDescent="0.2">
      <c r="C29" s="3"/>
    </row>
    <row r="30" spans="3:3" ht="15.75" customHeight="1" x14ac:dyDescent="0.2">
      <c r="C30" s="3"/>
    </row>
    <row r="31" spans="3:3" ht="15.75" customHeight="1" x14ac:dyDescent="0.2">
      <c r="C31" s="3"/>
    </row>
    <row r="32" spans="3:3" ht="15.75" customHeight="1" x14ac:dyDescent="0.2">
      <c r="C32" s="3"/>
    </row>
    <row r="33" spans="3:3" ht="15.75" customHeight="1" x14ac:dyDescent="0.2">
      <c r="C33" s="3"/>
    </row>
    <row r="34" spans="3:3" ht="15.75" customHeight="1" x14ac:dyDescent="0.2">
      <c r="C34" s="3"/>
    </row>
    <row r="35" spans="3:3" ht="15.75" customHeight="1" x14ac:dyDescent="0.2">
      <c r="C35" s="3"/>
    </row>
    <row r="36" spans="3:3" ht="15.75" customHeight="1" x14ac:dyDescent="0.2">
      <c r="C36" s="3"/>
    </row>
    <row r="37" spans="3:3" ht="15.75" customHeight="1" x14ac:dyDescent="0.2">
      <c r="C37" s="3"/>
    </row>
    <row r="38" spans="3:3" ht="15.75" customHeight="1" x14ac:dyDescent="0.2"/>
    <row r="39" spans="3:3" ht="15.75" customHeight="1" x14ac:dyDescent="0.2"/>
    <row r="40" spans="3:3" ht="15.75" customHeight="1" x14ac:dyDescent="0.2"/>
    <row r="41" spans="3:3" ht="15.75" customHeight="1" x14ac:dyDescent="0.2"/>
    <row r="42" spans="3:3" ht="15.75" customHeight="1" x14ac:dyDescent="0.2"/>
    <row r="43" spans="3:3" ht="15.75" customHeight="1" x14ac:dyDescent="0.2"/>
    <row r="44" spans="3:3" ht="15.75" customHeight="1" x14ac:dyDescent="0.2"/>
    <row r="45" spans="3:3" ht="15.75" customHeight="1" x14ac:dyDescent="0.2"/>
    <row r="46" spans="3:3" ht="15.75" customHeight="1" x14ac:dyDescent="0.2"/>
    <row r="47" spans="3:3" ht="15.75" customHeight="1" x14ac:dyDescent="0.2"/>
    <row r="48" spans="3:3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scenario_2cbam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LeeYeongju</dc:creator>
  <cp:lastModifiedBy>LeeYeongju</cp:lastModifiedBy>
  <dcterms:created xsi:type="dcterms:W3CDTF">2025-11-11T13:24:51Z</dcterms:created>
  <dcterms:modified xsi:type="dcterms:W3CDTF">2025-11-11T13:25:10Z</dcterms:modified>
</cp:coreProperties>
</file>