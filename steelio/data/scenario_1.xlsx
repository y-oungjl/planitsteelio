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0" documentId="8_{8FF94FF1-F4B2-A642-AC90-50A106B6B1C2}" xr6:coauthVersionLast="47" xr6:coauthVersionMax="47" xr10:uidLastSave="{00000000-0000-0000-0000-000000000000}"/>
  <bookViews>
    <workbookView xWindow="1080" yWindow="1260" windowWidth="27640" windowHeight="16720" xr2:uid="{F4D2F961-F91F-3D47-8054-765CE4EAF9AE}"/>
  </bookViews>
  <sheets>
    <sheet name="scenario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" l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<sst xmlns="http://schemas.openxmlformats.org/spreadsheetml/2006/main" count="10" uniqueCount="8">
  <si>
    <t>input</t>
  </si>
  <si>
    <t>sector</t>
  </si>
  <si>
    <t>iotable_2023.xlsx</t>
  </si>
  <si>
    <t>1610</t>
  </si>
  <si>
    <t>4506</t>
  </si>
  <si>
    <t>hydrogentable.xlsx</t>
  </si>
  <si>
    <t>H2S</t>
  </si>
  <si>
    <t>H2T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</si>
</sst>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sz val="10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43" fontId="2" fillId="0" borderId="0" xfId="0" applyNumberFormat="1" applyFont="1"/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9f352ed9e5ec6ce/00_&#54540;&#47004;&#51079;_&#52384;&#44053;inputoutput&#50672;&#44396;/Key%20data/Data_v9.xlsx" TargetMode="External"/><Relationship Id="rId1" Type="http://schemas.openxmlformats.org/officeDocument/2006/relationships/externalLinkPath" Target="/b9f352ed9e5ec6ce/00_&#54540;&#47004;&#51079;_&#52384;&#44053;inputoutput&#50672;&#44396;/Key%20data/Data_v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enario1"/>
      <sheetName val="scenario2"/>
      <sheetName val="scenario_2cbam"/>
      <sheetName val="raw data1"/>
      <sheetName val="raw data2"/>
      <sheetName val="raw data_2cbam"/>
      <sheetName val="parameters"/>
      <sheetName val="h2portion"/>
    </sheetNames>
    <sheetDataSet>
      <sheetData sheetId="0"/>
      <sheetData sheetId="1"/>
      <sheetData sheetId="2"/>
      <sheetData sheetId="3">
        <row r="6">
          <cell r="A6">
            <v>2025</v>
          </cell>
          <cell r="B6">
            <v>655860717.43200004</v>
          </cell>
          <cell r="C6">
            <v>48082610.148000002</v>
          </cell>
          <cell r="D6">
            <v>703943327.58000004</v>
          </cell>
          <cell r="E6">
            <v>0</v>
          </cell>
          <cell r="F6">
            <v>0</v>
          </cell>
          <cell r="G6">
            <v>0</v>
          </cell>
          <cell r="H6">
            <v>703943327.58000004</v>
          </cell>
          <cell r="N6">
            <v>0</v>
          </cell>
          <cell r="O6">
            <v>974131.53007012967</v>
          </cell>
          <cell r="P6">
            <v>0</v>
          </cell>
          <cell r="Q6">
            <v>0</v>
          </cell>
          <cell r="R6">
            <v>974131.53007012967</v>
          </cell>
        </row>
        <row r="7">
          <cell r="A7">
            <v>2026</v>
          </cell>
          <cell r="B7">
            <v>611842245.31575882</v>
          </cell>
          <cell r="C7">
            <v>45041398.948326387</v>
          </cell>
          <cell r="D7">
            <v>656883644.26408517</v>
          </cell>
          <cell r="E7">
            <v>0</v>
          </cell>
          <cell r="F7">
            <v>0</v>
          </cell>
          <cell r="G7">
            <v>15000000</v>
          </cell>
          <cell r="H7">
            <v>671883644.26408517</v>
          </cell>
          <cell r="J7">
            <v>47059683.315914869</v>
          </cell>
          <cell r="K7">
            <v>47059683.315914869</v>
          </cell>
          <cell r="M7">
            <v>-660838.10613837908</v>
          </cell>
          <cell r="N7">
            <v>0</v>
          </cell>
          <cell r="O7">
            <v>1031433.3847801371</v>
          </cell>
          <cell r="P7">
            <v>750060</v>
          </cell>
          <cell r="Q7">
            <v>0</v>
          </cell>
          <cell r="R7">
            <v>1781493.3847801371</v>
          </cell>
        </row>
        <row r="8">
          <cell r="A8">
            <v>2027</v>
          </cell>
          <cell r="B8">
            <v>575645448.55813956</v>
          </cell>
          <cell r="C8">
            <v>42376700.77387698</v>
          </cell>
          <cell r="D8">
            <v>618022149.33201659</v>
          </cell>
          <cell r="E8">
            <v>0</v>
          </cell>
          <cell r="F8">
            <v>0</v>
          </cell>
          <cell r="G8">
            <v>30000000</v>
          </cell>
          <cell r="H8">
            <v>648022149.33201659</v>
          </cell>
          <cell r="J8">
            <v>38861494.932068586</v>
          </cell>
          <cell r="K8">
            <v>85921178.247983456</v>
          </cell>
          <cell r="M8">
            <v>-1206552.7158227465</v>
          </cell>
          <cell r="N8">
            <v>0</v>
          </cell>
          <cell r="O8">
            <v>1031433.3847801371</v>
          </cell>
          <cell r="P8">
            <v>1500120</v>
          </cell>
          <cell r="Q8">
            <v>0</v>
          </cell>
          <cell r="R8">
            <v>2531553.3847801369</v>
          </cell>
        </row>
        <row r="9">
          <cell r="A9">
            <v>2028</v>
          </cell>
          <cell r="B9">
            <v>575645448.55813956</v>
          </cell>
          <cell r="C9">
            <v>42376700.77387698</v>
          </cell>
          <cell r="D9">
            <v>618022149.33201659</v>
          </cell>
          <cell r="E9">
            <v>0</v>
          </cell>
          <cell r="F9">
            <v>0</v>
          </cell>
          <cell r="G9">
            <v>30000000</v>
          </cell>
          <cell r="H9">
            <v>648022149.33201659</v>
          </cell>
          <cell r="J9">
            <v>0</v>
          </cell>
          <cell r="K9">
            <v>85921178.247983456</v>
          </cell>
          <cell r="M9">
            <v>-1206552.7158227465</v>
          </cell>
          <cell r="N9">
            <v>0</v>
          </cell>
          <cell r="O9">
            <v>1088735.2394901447</v>
          </cell>
          <cell r="P9">
            <v>1583460</v>
          </cell>
          <cell r="Q9">
            <v>0</v>
          </cell>
          <cell r="R9">
            <v>2672195.2394901449</v>
          </cell>
        </row>
        <row r="10">
          <cell r="A10">
            <v>2029</v>
          </cell>
          <cell r="B10">
            <v>561166692.4358393</v>
          </cell>
          <cell r="C10">
            <v>41310857.350849107</v>
          </cell>
          <cell r="D10">
            <v>602477549.78668845</v>
          </cell>
          <cell r="E10">
            <v>0</v>
          </cell>
          <cell r="F10">
            <v>0</v>
          </cell>
          <cell r="G10">
            <v>36000000</v>
          </cell>
          <cell r="H10">
            <v>638477549.78668845</v>
          </cell>
          <cell r="J10">
            <v>15544599.54532814</v>
          </cell>
          <cell r="K10">
            <v>101465777.7933116</v>
          </cell>
          <cell r="M10">
            <v>-1424838.5817784183</v>
          </cell>
          <cell r="N10">
            <v>0</v>
          </cell>
          <cell r="O10">
            <v>1146037.0942001524</v>
          </cell>
          <cell r="P10">
            <v>2000160</v>
          </cell>
          <cell r="Q10">
            <v>0</v>
          </cell>
          <cell r="R10">
            <v>3146197.0942001524</v>
          </cell>
        </row>
        <row r="11">
          <cell r="A11">
            <v>2030</v>
          </cell>
          <cell r="B11">
            <v>429405238.79139549</v>
          </cell>
          <cell r="C11">
            <v>41310857.350849107</v>
          </cell>
          <cell r="D11">
            <v>470716096.14224458</v>
          </cell>
          <cell r="E11">
            <v>57598122.732788421</v>
          </cell>
          <cell r="F11">
            <v>57598122.732788444</v>
          </cell>
          <cell r="G11">
            <v>36000000</v>
          </cell>
          <cell r="H11">
            <v>621912341.60782146</v>
          </cell>
          <cell r="J11">
            <v>131761453.64444387</v>
          </cell>
          <cell r="K11">
            <v>233227231.43775547</v>
          </cell>
          <cell r="M11">
            <v>-3275105.8031684812</v>
          </cell>
          <cell r="N11">
            <v>4976477.8041129196</v>
          </cell>
          <cell r="O11">
            <v>1203338.94891016</v>
          </cell>
          <cell r="P11">
            <v>2100168</v>
          </cell>
          <cell r="Q11">
            <v>5039634.1456894241</v>
          </cell>
          <cell r="R11">
            <v>8343141.0945995841</v>
          </cell>
        </row>
        <row r="12">
          <cell r="A12">
            <v>2031</v>
          </cell>
          <cell r="B12">
            <v>429405238.79139543</v>
          </cell>
          <cell r="C12">
            <v>41310857.350849107</v>
          </cell>
          <cell r="D12">
            <v>470716096.14224452</v>
          </cell>
          <cell r="E12">
            <v>57598122.732788421</v>
          </cell>
          <cell r="F12">
            <v>57598122.732788444</v>
          </cell>
          <cell r="G12">
            <v>36000000</v>
          </cell>
          <cell r="H12">
            <v>621912341.60782146</v>
          </cell>
          <cell r="J12">
            <v>0</v>
          </cell>
          <cell r="K12">
            <v>233227231.43775547</v>
          </cell>
          <cell r="M12">
            <v>-3275105.8031684812</v>
          </cell>
          <cell r="N12">
            <v>4792643.603730361</v>
          </cell>
          <cell r="O12">
            <v>1203338.94891016</v>
          </cell>
          <cell r="P12">
            <v>2100168</v>
          </cell>
          <cell r="Q12">
            <v>5039634.1456894241</v>
          </cell>
          <cell r="R12">
            <v>8343141.0945995841</v>
          </cell>
        </row>
        <row r="13">
          <cell r="A13">
            <v>2032</v>
          </cell>
          <cell r="B13">
            <v>429405238.79139543</v>
          </cell>
          <cell r="C13">
            <v>41310857.350849107</v>
          </cell>
          <cell r="D13">
            <v>470716096.14224452</v>
          </cell>
          <cell r="E13">
            <v>80627233.223800838</v>
          </cell>
          <cell r="F13">
            <v>34554528.524486057</v>
          </cell>
          <cell r="G13">
            <v>18014987.510407992</v>
          </cell>
          <cell r="H13">
            <v>603912845.40093946</v>
          </cell>
          <cell r="J13">
            <v>0</v>
          </cell>
          <cell r="K13">
            <v>233227231.43775547</v>
          </cell>
          <cell r="M13">
            <v>-3275105.8031684812</v>
          </cell>
          <cell r="N13">
            <v>6513336.388505267</v>
          </cell>
          <cell r="O13">
            <v>1260640.8036201678</v>
          </cell>
          <cell r="P13">
            <v>1101003.9766860947</v>
          </cell>
          <cell r="Q13">
            <v>3167371.7481399658</v>
          </cell>
          <cell r="R13">
            <v>5529016.5284462282</v>
          </cell>
        </row>
        <row r="14">
          <cell r="A14">
            <v>2033</v>
          </cell>
          <cell r="B14">
            <v>355901922.11395627</v>
          </cell>
          <cell r="C14">
            <v>41310857.350849107</v>
          </cell>
          <cell r="D14">
            <v>397212779.46480536</v>
          </cell>
          <cell r="E14">
            <v>135410185.23304209</v>
          </cell>
          <cell r="F14">
            <v>58032936.528446592</v>
          </cell>
          <cell r="G14">
            <v>18014987.510407992</v>
          </cell>
          <cell r="H14">
            <v>608670888.73670208</v>
          </cell>
          <cell r="J14">
            <v>73503316.677439153</v>
          </cell>
          <cell r="K14">
            <v>306730548.11519462</v>
          </cell>
          <cell r="M14">
            <v>-4307280.0373623073</v>
          </cell>
          <cell r="N14">
            <v>10684991.581730014</v>
          </cell>
          <cell r="O14">
            <v>1317942.6583301753</v>
          </cell>
          <cell r="P14">
            <v>1151049.6119900083</v>
          </cell>
          <cell r="Q14">
            <v>5561267.2910527736</v>
          </cell>
          <cell r="R14">
            <v>8030259.5613729572</v>
          </cell>
        </row>
        <row r="15">
          <cell r="A15">
            <v>2034</v>
          </cell>
          <cell r="B15">
            <v>355901922.11395627</v>
          </cell>
          <cell r="C15">
            <v>41310857.350849107</v>
          </cell>
          <cell r="D15">
            <v>397212779.46480536</v>
          </cell>
          <cell r="E15">
            <v>135410185.23304209</v>
          </cell>
          <cell r="F15">
            <v>58032936.528446592</v>
          </cell>
          <cell r="G15">
            <v>18014987.510407992</v>
          </cell>
          <cell r="H15">
            <v>608670888.73670208</v>
          </cell>
          <cell r="J15">
            <v>0</v>
          </cell>
          <cell r="K15">
            <v>306730548.11519462</v>
          </cell>
          <cell r="M15">
            <v>-4307280.0373623073</v>
          </cell>
          <cell r="N15">
            <v>10620671.743744316</v>
          </cell>
          <cell r="O15">
            <v>1375244.5130401829</v>
          </cell>
          <cell r="P15">
            <v>1201095.2472939217</v>
          </cell>
          <cell r="Q15">
            <v>5803061.5210985458</v>
          </cell>
          <cell r="R15">
            <v>8379401.2814326501</v>
          </cell>
        </row>
        <row r="16">
          <cell r="A16">
            <v>2035</v>
          </cell>
          <cell r="B16">
            <v>304166351.35518748</v>
          </cell>
          <cell r="C16">
            <v>0</v>
          </cell>
          <cell r="D16">
            <v>304166351.35518748</v>
          </cell>
          <cell r="E16">
            <v>204758865.48552209</v>
          </cell>
          <cell r="F16">
            <v>87753799.493795186</v>
          </cell>
          <cell r="G16">
            <v>18014987.510407992</v>
          </cell>
          <cell r="H16">
            <v>614694003.84491277</v>
          </cell>
          <cell r="J16">
            <v>93046428.109617889</v>
          </cell>
          <cell r="K16">
            <v>399776976.22481251</v>
          </cell>
          <cell r="M16">
            <v>-5613889.4533697078</v>
          </cell>
          <cell r="N16">
            <v>15856868.490504192</v>
          </cell>
          <cell r="O16">
            <v>1432546.3677501904</v>
          </cell>
          <cell r="P16">
            <v>1251140.882597835</v>
          </cell>
          <cell r="Q16">
            <v>9140655.1397724412</v>
          </cell>
          <cell r="R16">
            <v>11824342.390120467</v>
          </cell>
        </row>
        <row r="17">
          <cell r="A17">
            <v>2036</v>
          </cell>
          <cell r="B17">
            <v>243092507.5577203</v>
          </cell>
          <cell r="C17">
            <v>0</v>
          </cell>
          <cell r="D17">
            <v>243092507.5577203</v>
          </cell>
          <cell r="E17">
            <v>250277974.07839319</v>
          </cell>
          <cell r="F17">
            <v>107261988.8907399</v>
          </cell>
          <cell r="G17">
            <v>18014987.510407992</v>
          </cell>
          <cell r="H17">
            <v>618647458.03726149</v>
          </cell>
          <cell r="J17">
            <v>61073843.797467172</v>
          </cell>
          <cell r="K17">
            <v>460850820.02227968</v>
          </cell>
          <cell r="M17">
            <v>-6471522.1535043539</v>
          </cell>
          <cell r="N17">
            <v>19119152.404065166</v>
          </cell>
          <cell r="O17">
            <v>1432546.3677501904</v>
          </cell>
          <cell r="P17">
            <v>1251140.882597835</v>
          </cell>
          <cell r="Q17">
            <v>11172676.917831695</v>
          </cell>
          <cell r="R17">
            <v>13856364.168179721</v>
          </cell>
        </row>
        <row r="18">
          <cell r="A18">
            <v>2037</v>
          </cell>
          <cell r="B18">
            <v>189701399.37109521</v>
          </cell>
          <cell r="C18">
            <v>0</v>
          </cell>
          <cell r="D18">
            <v>189701399.37109521</v>
          </cell>
          <cell r="E18">
            <v>290071042.6054064</v>
          </cell>
          <cell r="F18">
            <v>124316161.1166027</v>
          </cell>
          <cell r="G18">
            <v>18014987.510407992</v>
          </cell>
          <cell r="H18">
            <v>622103590.60351229</v>
          </cell>
          <cell r="J18">
            <v>53391108.186625093</v>
          </cell>
          <cell r="K18">
            <v>514241928.20890474</v>
          </cell>
          <cell r="M18">
            <v>-7221269.6301675998</v>
          </cell>
          <cell r="N18">
            <v>20749747.614136595</v>
          </cell>
          <cell r="O18">
            <v>1432546.3677501904</v>
          </cell>
          <cell r="P18">
            <v>1251140.882597835</v>
          </cell>
          <cell r="Q18">
            <v>12949082.132308131</v>
          </cell>
          <cell r="R18">
            <v>15632769.382656157</v>
          </cell>
        </row>
        <row r="19">
          <cell r="A19">
            <v>2038</v>
          </cell>
          <cell r="B19">
            <v>189701399.37109521</v>
          </cell>
          <cell r="C19">
            <v>0</v>
          </cell>
          <cell r="D19">
            <v>189701399.37109521</v>
          </cell>
          <cell r="E19">
            <v>290071042.6054064</v>
          </cell>
          <cell r="F19">
            <v>124316161.1166027</v>
          </cell>
          <cell r="G19">
            <v>18014987.510407992</v>
          </cell>
          <cell r="H19">
            <v>622103590.60351229</v>
          </cell>
          <cell r="J19">
            <v>0</v>
          </cell>
          <cell r="K19">
            <v>514241928.20890474</v>
          </cell>
          <cell r="M19">
            <v>-7221269.6301675998</v>
          </cell>
          <cell r="N19">
            <v>19852946.574555166</v>
          </cell>
          <cell r="O19">
            <v>1432546.3677501904</v>
          </cell>
          <cell r="P19">
            <v>1251140.882597835</v>
          </cell>
          <cell r="Q19">
            <v>12949082.132308131</v>
          </cell>
          <cell r="R19">
            <v>15632769.382656157</v>
          </cell>
        </row>
        <row r="20">
          <cell r="A20">
            <v>2039</v>
          </cell>
          <cell r="B20">
            <v>189701399.37109521</v>
          </cell>
          <cell r="C20">
            <v>0</v>
          </cell>
          <cell r="D20">
            <v>189701399.37109521</v>
          </cell>
          <cell r="E20">
            <v>290071042.6054064</v>
          </cell>
          <cell r="F20">
            <v>124316161.1166027</v>
          </cell>
          <cell r="G20">
            <v>18014987.510407992</v>
          </cell>
          <cell r="H20">
            <v>622103590.60351229</v>
          </cell>
          <cell r="J20">
            <v>0</v>
          </cell>
          <cell r="K20">
            <v>514241928.20890474</v>
          </cell>
          <cell r="M20">
            <v>-7221269.6301675998</v>
          </cell>
          <cell r="N20">
            <v>18997236.998869218</v>
          </cell>
          <cell r="O20">
            <v>1432546.3677501904</v>
          </cell>
          <cell r="P20">
            <v>1251140.882597835</v>
          </cell>
          <cell r="Q20">
            <v>12949082.132308131</v>
          </cell>
          <cell r="R20">
            <v>15632769.382656157</v>
          </cell>
        </row>
        <row r="21">
          <cell r="A21">
            <v>2040</v>
          </cell>
          <cell r="B21">
            <v>142828978.20823699</v>
          </cell>
          <cell r="C21">
            <v>0</v>
          </cell>
          <cell r="D21">
            <v>142828978.20823699</v>
          </cell>
          <cell r="E21">
            <v>325005651.20804048</v>
          </cell>
          <cell r="F21">
            <v>139288136.23201731</v>
          </cell>
          <cell r="G21">
            <v>18014987.510407992</v>
          </cell>
          <cell r="H21">
            <v>625137753.15870285</v>
          </cell>
          <cell r="J21">
            <v>46872421.162858218</v>
          </cell>
          <cell r="K21">
            <v>561114349.37176299</v>
          </cell>
          <cell r="M21">
            <v>-7879478.0975609282</v>
          </cell>
          <cell r="N21">
            <v>20372436.486538503</v>
          </cell>
          <cell r="O21">
            <v>1432546.3677501904</v>
          </cell>
          <cell r="P21">
            <v>1251140.882597835</v>
          </cell>
          <cell r="Q21">
            <v>14508600.490267504</v>
          </cell>
          <cell r="R21">
            <v>17192287.740615528</v>
          </cell>
        </row>
        <row r="22">
          <cell r="A22">
            <v>2041</v>
          </cell>
          <cell r="B22">
            <v>142828978.20823699</v>
          </cell>
          <cell r="C22">
            <v>0</v>
          </cell>
          <cell r="D22">
            <v>142828978.20823699</v>
          </cell>
          <cell r="E22">
            <v>325005651.20804048</v>
          </cell>
          <cell r="F22">
            <v>139288136.23201731</v>
          </cell>
          <cell r="G22">
            <v>18014987.510407992</v>
          </cell>
          <cell r="H22">
            <v>625137753.15870285</v>
          </cell>
          <cell r="J22">
            <v>0</v>
          </cell>
          <cell r="K22">
            <v>561114349.37176299</v>
          </cell>
          <cell r="M22">
            <v>-7879478.0975609282</v>
          </cell>
          <cell r="N22">
            <v>19500339.072482429</v>
          </cell>
          <cell r="O22">
            <v>1432546.3677501904</v>
          </cell>
          <cell r="P22">
            <v>1251140.882597835</v>
          </cell>
          <cell r="Q22">
            <v>14508600.490267504</v>
          </cell>
          <cell r="R22">
            <v>17192287.740615528</v>
          </cell>
        </row>
        <row r="23">
          <cell r="A23">
            <v>2042</v>
          </cell>
          <cell r="B23">
            <v>91093407.449468255</v>
          </cell>
          <cell r="C23">
            <v>0</v>
          </cell>
          <cell r="D23">
            <v>91093407.449468255</v>
          </cell>
          <cell r="E23">
            <v>363564826.74138433</v>
          </cell>
          <cell r="F23">
            <v>155813497.17487901</v>
          </cell>
          <cell r="G23">
            <v>18014987.510407992</v>
          </cell>
          <cell r="H23">
            <v>628486718.87613964</v>
          </cell>
          <cell r="J23">
            <v>51735570.758768737</v>
          </cell>
          <cell r="K23">
            <v>612849920.13053179</v>
          </cell>
          <cell r="M23">
            <v>-8605977.6018330008</v>
          </cell>
          <cell r="N23">
            <v>20883770.80128577</v>
          </cell>
          <cell r="O23">
            <v>1432546.3677501904</v>
          </cell>
          <cell r="P23">
            <v>1251140.882597835</v>
          </cell>
          <cell r="Q23">
            <v>16229923.399478337</v>
          </cell>
          <cell r="R23">
            <v>18913610.649826363</v>
          </cell>
        </row>
        <row r="24">
          <cell r="A24">
            <v>2043</v>
          </cell>
          <cell r="B24">
            <v>91093407.44946824</v>
          </cell>
          <cell r="C24">
            <v>0</v>
          </cell>
          <cell r="D24">
            <v>91093407.44946824</v>
          </cell>
          <cell r="E24">
            <v>363564826.74138433</v>
          </cell>
          <cell r="F24">
            <v>155813497.17487901</v>
          </cell>
          <cell r="G24">
            <v>18014987.510407992</v>
          </cell>
          <cell r="H24">
            <v>628486718.87613964</v>
          </cell>
          <cell r="J24">
            <v>0</v>
          </cell>
          <cell r="K24">
            <v>612849920.13053179</v>
          </cell>
          <cell r="M24">
            <v>-8605977.6018330008</v>
          </cell>
          <cell r="N24">
            <v>19996065.470776137</v>
          </cell>
          <cell r="O24">
            <v>1432546.3677501904</v>
          </cell>
          <cell r="P24">
            <v>1251140.882597835</v>
          </cell>
          <cell r="Q24">
            <v>16229923.399478337</v>
          </cell>
          <cell r="R24">
            <v>18913610.649826363</v>
          </cell>
        </row>
        <row r="25">
          <cell r="A25">
            <v>2044</v>
          </cell>
          <cell r="B25">
            <v>41892874.176313333</v>
          </cell>
          <cell r="C25">
            <v>0</v>
          </cell>
          <cell r="D25">
            <v>41892874.176313333</v>
          </cell>
          <cell r="E25">
            <v>400234606.75907463</v>
          </cell>
          <cell r="F25">
            <v>171529117.18246049</v>
          </cell>
          <cell r="G25">
            <v>18014987.510407992</v>
          </cell>
          <cell r="H25">
            <v>631671585.62825644</v>
          </cell>
          <cell r="J25">
            <v>49200533.273154907</v>
          </cell>
          <cell r="K25">
            <v>662050453.40368664</v>
          </cell>
          <cell r="M25">
            <v>-9296878.7073709201</v>
          </cell>
          <cell r="N25">
            <v>21079023.956759952</v>
          </cell>
          <cell r="O25">
            <v>1432546.3677501904</v>
          </cell>
          <cell r="P25">
            <v>1251140.882597835</v>
          </cell>
          <cell r="Q25">
            <v>17866901.66851804</v>
          </cell>
          <cell r="R25">
            <v>20550588.918866064</v>
          </cell>
        </row>
        <row r="26">
          <cell r="A26">
            <v>2045</v>
          </cell>
          <cell r="B26">
            <v>41892874.176313333</v>
          </cell>
          <cell r="C26">
            <v>0</v>
          </cell>
          <cell r="D26">
            <v>41892874.176313333</v>
          </cell>
          <cell r="E26">
            <v>400234606.75907463</v>
          </cell>
          <cell r="F26">
            <v>171529117.18246049</v>
          </cell>
          <cell r="G26">
            <v>18014987.510407992</v>
          </cell>
          <cell r="H26">
            <v>631671585.62825644</v>
          </cell>
          <cell r="J26">
            <v>0</v>
          </cell>
          <cell r="K26">
            <v>662050453.40368664</v>
          </cell>
          <cell r="M26">
            <v>-9296878.7073709201</v>
          </cell>
          <cell r="N26">
            <v>20188501.956721008</v>
          </cell>
          <cell r="O26">
            <v>1432546.3677501904</v>
          </cell>
          <cell r="P26">
            <v>1251140.882597835</v>
          </cell>
          <cell r="Q26">
            <v>17866901.66851804</v>
          </cell>
          <cell r="R26">
            <v>20550588.918866064</v>
          </cell>
        </row>
        <row r="27">
          <cell r="A27">
            <v>2046</v>
          </cell>
          <cell r="B27">
            <v>0</v>
          </cell>
          <cell r="C27">
            <v>0</v>
          </cell>
          <cell r="D27">
            <v>0</v>
          </cell>
          <cell r="E27">
            <v>431457895.98290062</v>
          </cell>
          <cell r="F27">
            <v>184910526.84981459</v>
          </cell>
          <cell r="G27">
            <v>18014987.510407992</v>
          </cell>
          <cell r="H27">
            <v>634383410.34312332</v>
          </cell>
          <cell r="J27">
            <v>41892874.176313333</v>
          </cell>
          <cell r="K27">
            <v>703943327.57999992</v>
          </cell>
          <cell r="M27">
            <v>-9885161.6213361677</v>
          </cell>
          <cell r="N27">
            <v>20846608.779100131</v>
          </cell>
          <cell r="O27">
            <v>1432546.3677501904</v>
          </cell>
          <cell r="P27">
            <v>1251140.882597835</v>
          </cell>
          <cell r="Q27">
            <v>19260742.752993811</v>
          </cell>
          <cell r="R27">
            <v>21944430.003341835</v>
          </cell>
        </row>
        <row r="28">
          <cell r="A28">
            <v>2047</v>
          </cell>
          <cell r="B28">
            <v>0</v>
          </cell>
          <cell r="C28">
            <v>0</v>
          </cell>
          <cell r="D28">
            <v>0</v>
          </cell>
          <cell r="E28">
            <v>431457895.98290062</v>
          </cell>
          <cell r="F28">
            <v>184910526.84981459</v>
          </cell>
          <cell r="G28">
            <v>18014987.510407992</v>
          </cell>
          <cell r="H28">
            <v>634383410.34312332</v>
          </cell>
          <cell r="J28">
            <v>0</v>
          </cell>
          <cell r="K28">
            <v>703943327.57999992</v>
          </cell>
          <cell r="M28">
            <v>-9885161.6213361677</v>
          </cell>
          <cell r="N28">
            <v>19965714.136608727</v>
          </cell>
          <cell r="O28">
            <v>1432546.3677501904</v>
          </cell>
          <cell r="P28">
            <v>1251140.882597835</v>
          </cell>
          <cell r="Q28">
            <v>19260742.752993811</v>
          </cell>
          <cell r="R28">
            <v>21944430.003341835</v>
          </cell>
        </row>
        <row r="29">
          <cell r="A29">
            <v>2048</v>
          </cell>
          <cell r="B29">
            <v>0</v>
          </cell>
          <cell r="C29">
            <v>0</v>
          </cell>
          <cell r="D29">
            <v>0</v>
          </cell>
          <cell r="E29">
            <v>431457895.98290062</v>
          </cell>
          <cell r="F29">
            <v>184910526.84981459</v>
          </cell>
          <cell r="G29">
            <v>18014987.510407992</v>
          </cell>
          <cell r="H29">
            <v>634383410.34312332</v>
          </cell>
          <cell r="J29">
            <v>0</v>
          </cell>
          <cell r="K29">
            <v>703943327.57999992</v>
          </cell>
          <cell r="M29">
            <v>-9885161.6213361677</v>
          </cell>
          <cell r="N29">
            <v>19124371.239442069</v>
          </cell>
          <cell r="O29">
            <v>1432546.3677501904</v>
          </cell>
          <cell r="P29">
            <v>1251140.882597835</v>
          </cell>
          <cell r="Q29">
            <v>19260742.752993811</v>
          </cell>
          <cell r="R29">
            <v>21944430.003341835</v>
          </cell>
        </row>
        <row r="30">
          <cell r="A30">
            <v>2049</v>
          </cell>
          <cell r="B30">
            <v>0</v>
          </cell>
          <cell r="C30">
            <v>0</v>
          </cell>
          <cell r="D30">
            <v>0</v>
          </cell>
          <cell r="E30">
            <v>431457895.98290062</v>
          </cell>
          <cell r="F30">
            <v>184910526.84981459</v>
          </cell>
          <cell r="G30">
            <v>18014987.510407992</v>
          </cell>
          <cell r="H30">
            <v>634383410.34312332</v>
          </cell>
          <cell r="J30">
            <v>0</v>
          </cell>
          <cell r="K30">
            <v>703943327.57999992</v>
          </cell>
          <cell r="M30">
            <v>-9885161.6213361677</v>
          </cell>
          <cell r="N30">
            <v>18318981.72874767</v>
          </cell>
          <cell r="O30">
            <v>1432546.3677501904</v>
          </cell>
          <cell r="P30">
            <v>1251140.882597835</v>
          </cell>
          <cell r="Q30">
            <v>19260742.752993811</v>
          </cell>
          <cell r="R30">
            <v>21944430.003341835</v>
          </cell>
        </row>
        <row r="31">
          <cell r="A31">
            <v>2050</v>
          </cell>
          <cell r="B31">
            <v>0</v>
          </cell>
          <cell r="C31">
            <v>0</v>
          </cell>
          <cell r="D31">
            <v>0</v>
          </cell>
          <cell r="E31">
            <v>431457895.98290068</v>
          </cell>
          <cell r="F31">
            <v>184910526.84981459</v>
          </cell>
          <cell r="G31">
            <v>18014987.510407992</v>
          </cell>
          <cell r="H31">
            <v>634383410.34312332</v>
          </cell>
          <cell r="J31">
            <v>0</v>
          </cell>
          <cell r="K31">
            <v>703943327.57999992</v>
          </cell>
          <cell r="M31">
            <v>-9885161.6213361677</v>
          </cell>
          <cell r="N31">
            <v>17549549.919104483</v>
          </cell>
          <cell r="O31">
            <v>1432546.3677501904</v>
          </cell>
          <cell r="P31">
            <v>1251140.882597835</v>
          </cell>
          <cell r="Q31">
            <v>19260742.752993811</v>
          </cell>
          <cell r="R31">
            <v>21944430.003341835</v>
          </cell>
        </row>
      </sheetData>
      <sheetData sheetId="4"/>
      <sheetData sheetId="5"/>
      <sheetData sheetId="6"/>
      <sheetData sheetId="7">
        <row r="1">
          <cell r="C1">
            <v>2025</v>
          </cell>
          <cell r="D1">
            <v>2026</v>
          </cell>
          <cell r="E1">
            <v>2027</v>
          </cell>
          <cell r="F1">
            <v>2028</v>
          </cell>
          <cell r="G1">
            <v>2029</v>
          </cell>
          <cell r="H1">
            <v>2030</v>
          </cell>
          <cell r="I1">
            <v>2031</v>
          </cell>
          <cell r="J1">
            <v>2032</v>
          </cell>
          <cell r="K1">
            <v>2033</v>
          </cell>
          <cell r="L1">
            <v>2034</v>
          </cell>
          <cell r="M1">
            <v>2035</v>
          </cell>
          <cell r="N1">
            <v>2036</v>
          </cell>
          <cell r="O1">
            <v>2037</v>
          </cell>
          <cell r="P1">
            <v>2038</v>
          </cell>
          <cell r="Q1">
            <v>2039</v>
          </cell>
          <cell r="R1">
            <v>2040</v>
          </cell>
          <cell r="S1">
            <v>2041</v>
          </cell>
          <cell r="T1">
            <v>2042</v>
          </cell>
          <cell r="U1">
            <v>2043</v>
          </cell>
          <cell r="V1">
            <v>2044</v>
          </cell>
          <cell r="W1">
            <v>2045</v>
          </cell>
          <cell r="X1">
            <v>2046</v>
          </cell>
          <cell r="Y1">
            <v>2047</v>
          </cell>
          <cell r="Z1">
            <v>2048</v>
          </cell>
          <cell r="AA1">
            <v>2049</v>
          </cell>
          <cell r="AB1">
            <v>2050</v>
          </cell>
        </row>
        <row r="2">
          <cell r="C2">
            <v>0.34100000000000003</v>
          </cell>
          <cell r="D2">
            <v>0.34100000000000003</v>
          </cell>
          <cell r="E2">
            <v>0.34100000000000003</v>
          </cell>
          <cell r="F2">
            <v>0.34100000000000003</v>
          </cell>
          <cell r="G2">
            <v>0.34100000000000003</v>
          </cell>
          <cell r="H2">
            <v>0.34100000000000003</v>
          </cell>
          <cell r="I2">
            <v>0.34599999999999997</v>
          </cell>
          <cell r="J2">
            <v>0.34599999999999997</v>
          </cell>
          <cell r="K2">
            <v>0.34599999999999997</v>
          </cell>
          <cell r="L2">
            <v>0.34599999999999997</v>
          </cell>
          <cell r="M2">
            <v>0.34599999999999997</v>
          </cell>
          <cell r="N2">
            <v>0.34599999999999997</v>
          </cell>
          <cell r="O2">
            <v>0.34599999999999997</v>
          </cell>
          <cell r="P2">
            <v>0.34599999999999997</v>
          </cell>
          <cell r="Q2">
            <v>0.34599999999999997</v>
          </cell>
          <cell r="R2">
            <v>0.34599999999999997</v>
          </cell>
          <cell r="S2">
            <v>0.379</v>
          </cell>
          <cell r="T2">
            <v>0.379</v>
          </cell>
          <cell r="U2">
            <v>0.379</v>
          </cell>
          <cell r="V2">
            <v>0.379</v>
          </cell>
          <cell r="W2">
            <v>0.379</v>
          </cell>
          <cell r="X2">
            <v>0.379</v>
          </cell>
          <cell r="Y2">
            <v>0.379</v>
          </cell>
          <cell r="Z2">
            <v>0.379</v>
          </cell>
          <cell r="AA2">
            <v>0.379</v>
          </cell>
          <cell r="AB2">
            <v>0.379</v>
          </cell>
        </row>
        <row r="3">
          <cell r="C3">
            <v>0.104</v>
          </cell>
          <cell r="D3">
            <v>0.104</v>
          </cell>
          <cell r="E3">
            <v>0.104</v>
          </cell>
          <cell r="F3">
            <v>0.104</v>
          </cell>
          <cell r="G3">
            <v>0.104</v>
          </cell>
          <cell r="H3">
            <v>0.104</v>
          </cell>
          <cell r="I3">
            <v>8.5999999999999993E-2</v>
          </cell>
          <cell r="J3">
            <v>8.5999999999999993E-2</v>
          </cell>
          <cell r="K3">
            <v>8.5999999999999993E-2</v>
          </cell>
          <cell r="L3">
            <v>8.5999999999999993E-2</v>
          </cell>
          <cell r="M3">
            <v>8.5999999999999993E-2</v>
          </cell>
          <cell r="N3">
            <v>8.5999999999999993E-2</v>
          </cell>
          <cell r="O3">
            <v>8.5999999999999993E-2</v>
          </cell>
          <cell r="P3">
            <v>8.5999999999999993E-2</v>
          </cell>
          <cell r="Q3">
            <v>8.5999999999999993E-2</v>
          </cell>
          <cell r="R3">
            <v>8.5999999999999993E-2</v>
          </cell>
          <cell r="S3">
            <v>8.6999999999999994E-2</v>
          </cell>
          <cell r="T3">
            <v>8.6999999999999994E-2</v>
          </cell>
          <cell r="U3">
            <v>8.6999999999999994E-2</v>
          </cell>
          <cell r="V3">
            <v>8.6999999999999994E-2</v>
          </cell>
          <cell r="W3">
            <v>8.6999999999999994E-2</v>
          </cell>
          <cell r="X3">
            <v>8.6999999999999994E-2</v>
          </cell>
          <cell r="Y3">
            <v>8.6999999999999994E-2</v>
          </cell>
          <cell r="Z3">
            <v>8.6999999999999994E-2</v>
          </cell>
          <cell r="AA3">
            <v>8.6999999999999994E-2</v>
          </cell>
          <cell r="AB3">
            <v>8.6999999999999994E-2</v>
          </cell>
        </row>
        <row r="4">
          <cell r="C4">
            <v>0.112</v>
          </cell>
          <cell r="D4">
            <v>0.112</v>
          </cell>
          <cell r="E4">
            <v>0.112</v>
          </cell>
          <cell r="F4">
            <v>0.112</v>
          </cell>
          <cell r="G4">
            <v>0.112</v>
          </cell>
          <cell r="H4">
            <v>0.112</v>
          </cell>
          <cell r="I4">
            <v>0.109</v>
          </cell>
          <cell r="J4">
            <v>0.109</v>
          </cell>
          <cell r="K4">
            <v>0.109</v>
          </cell>
          <cell r="L4">
            <v>0.109</v>
          </cell>
          <cell r="M4">
            <v>0.109</v>
          </cell>
          <cell r="N4">
            <v>0.109</v>
          </cell>
          <cell r="O4">
            <v>0.109</v>
          </cell>
          <cell r="P4">
            <v>0.109</v>
          </cell>
          <cell r="Q4">
            <v>0.109</v>
          </cell>
          <cell r="R4">
            <v>0.109</v>
          </cell>
          <cell r="S4">
            <v>9.9000000000000005E-2</v>
          </cell>
          <cell r="T4">
            <v>9.9000000000000005E-2</v>
          </cell>
          <cell r="U4">
            <v>9.9000000000000005E-2</v>
          </cell>
          <cell r="V4">
            <v>9.9000000000000005E-2</v>
          </cell>
          <cell r="W4">
            <v>9.9000000000000005E-2</v>
          </cell>
          <cell r="X4">
            <v>9.9000000000000005E-2</v>
          </cell>
          <cell r="Y4">
            <v>9.9000000000000005E-2</v>
          </cell>
          <cell r="Z4">
            <v>9.9000000000000005E-2</v>
          </cell>
          <cell r="AA4">
            <v>9.9000000000000005E-2</v>
          </cell>
          <cell r="AB4">
            <v>9.9000000000000005E-2</v>
          </cell>
        </row>
        <row r="5">
          <cell r="C5">
            <v>0.44400000000000001</v>
          </cell>
          <cell r="D5">
            <v>0.44400000000000001</v>
          </cell>
          <cell r="E5">
            <v>0.44400000000000001</v>
          </cell>
          <cell r="F5">
            <v>0.44400000000000001</v>
          </cell>
          <cell r="G5">
            <v>0.44400000000000001</v>
          </cell>
          <cell r="H5">
            <v>0.44400000000000001</v>
          </cell>
          <cell r="I5">
            <v>0.45900000000000002</v>
          </cell>
          <cell r="J5">
            <v>0.45900000000000002</v>
          </cell>
          <cell r="K5">
            <v>0.45900000000000002</v>
          </cell>
          <cell r="L5">
            <v>0.45900000000000002</v>
          </cell>
          <cell r="M5">
            <v>0.45900000000000002</v>
          </cell>
          <cell r="N5">
            <v>0.45900000000000002</v>
          </cell>
          <cell r="O5">
            <v>0.45900000000000002</v>
          </cell>
          <cell r="P5">
            <v>0.45900000000000002</v>
          </cell>
          <cell r="Q5">
            <v>0.45900000000000002</v>
          </cell>
          <cell r="R5">
            <v>0.45900000000000002</v>
          </cell>
          <cell r="S5">
            <v>0.435</v>
          </cell>
          <cell r="T5">
            <v>0.435</v>
          </cell>
          <cell r="U5">
            <v>0.435</v>
          </cell>
          <cell r="V5">
            <v>0.435</v>
          </cell>
          <cell r="W5">
            <v>0.435</v>
          </cell>
          <cell r="X5">
            <v>0.435</v>
          </cell>
          <cell r="Y5">
            <v>0.435</v>
          </cell>
          <cell r="Z5">
            <v>0.435</v>
          </cell>
          <cell r="AA5">
            <v>0.435</v>
          </cell>
          <cell r="AB5">
            <v>0.435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EBE7-1CC7-E149-BED3-F13018D2A59B}">
  <dimension ref="A1:AA1000"/>
  <sheetViews>
    <sheetView tabSelected="1" workbookViewId="0">
      <selection activeCell="I16" sqref="I16"/>
    </sheetView>
  </sheetViews>
  <sheetFormatPr baseColWidth="10" defaultColWidth="11.1640625" defaultRowHeight="15" customHeight="1" x14ac:dyDescent="0.2"/>
  <cols>
    <col min="1" max="2" width="10.5" customWidth="1"/>
    <col min="3" max="27" width="14" customWidth="1"/>
  </cols>
  <sheetData>
    <row r="1" spans="1:27" ht="15.75" customHeight="1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ht="15.75" customHeight="1" x14ac:dyDescent="0.2">
      <c r="A2" s="1" t="s">
        <v>2</v>
      </c>
      <c r="B2" s="2" t="s">
        <v>3</v>
      </c>
      <c r="C2" s="3">
        <f>'[1]raw data1'!M7</f>
        <v>-660838.10613837908</v>
      </c>
      <c r="D2" s="3">
        <f>'[1]raw data1'!M8</f>
        <v>-1206552.7158227465</v>
      </c>
      <c r="E2" s="3">
        <f>'[1]raw data1'!M9</f>
        <v>-1206552.7158227465</v>
      </c>
      <c r="F2" s="3">
        <f>'[1]raw data1'!M10</f>
        <v>-1424838.5817784183</v>
      </c>
      <c r="G2" s="3">
        <f>'[1]raw data1'!M11</f>
        <v>-3275105.8031684812</v>
      </c>
      <c r="H2" s="3">
        <f>'[1]raw data1'!M12</f>
        <v>-3275105.8031684812</v>
      </c>
      <c r="I2" s="3">
        <f>'[1]raw data1'!M13</f>
        <v>-3275105.8031684812</v>
      </c>
      <c r="J2" s="3">
        <f>'[1]raw data1'!M14</f>
        <v>-4307280.0373623073</v>
      </c>
      <c r="K2" s="3">
        <f>'[1]raw data1'!M15</f>
        <v>-4307280.0373623073</v>
      </c>
      <c r="L2" s="3">
        <f>'[1]raw data1'!M16</f>
        <v>-5613889.4533697078</v>
      </c>
      <c r="M2" s="3">
        <f>'[1]raw data1'!M17</f>
        <v>-6471522.1535043539</v>
      </c>
      <c r="N2" s="3">
        <f>'[1]raw data1'!M18</f>
        <v>-7221269.6301675998</v>
      </c>
      <c r="O2" s="3">
        <f>'[1]raw data1'!M19</f>
        <v>-7221269.6301675998</v>
      </c>
      <c r="P2" s="3">
        <f>'[1]raw data1'!M20</f>
        <v>-7221269.6301675998</v>
      </c>
      <c r="Q2" s="3">
        <f>'[1]raw data1'!M21</f>
        <v>-7879478.0975609282</v>
      </c>
      <c r="R2" s="3">
        <f>'[1]raw data1'!M22</f>
        <v>-7879478.0975609282</v>
      </c>
      <c r="S2" s="3">
        <f>'[1]raw data1'!M23</f>
        <v>-8605977.6018330008</v>
      </c>
      <c r="T2" s="3">
        <f>'[1]raw data1'!M24</f>
        <v>-8605977.6018330008</v>
      </c>
      <c r="U2" s="3">
        <f>'[1]raw data1'!M25</f>
        <v>-9296878.7073709201</v>
      </c>
      <c r="V2" s="3">
        <f>'[1]raw data1'!M26</f>
        <v>-9296878.7073709201</v>
      </c>
      <c r="W2" s="3">
        <f>'[1]raw data1'!M27</f>
        <v>-9885161.6213361677</v>
      </c>
      <c r="X2" s="3">
        <f>'[1]raw data1'!M28</f>
        <v>-9885161.6213361677</v>
      </c>
      <c r="Y2" s="3">
        <f>'[1]raw data1'!M29</f>
        <v>-9885161.6213361677</v>
      </c>
      <c r="Z2" s="3">
        <f>'[1]raw data1'!M30</f>
        <v>-9885161.6213361677</v>
      </c>
      <c r="AA2" s="3">
        <f>'[1]raw data1'!M31</f>
        <v>-9885161.6213361677</v>
      </c>
    </row>
    <row r="3" spans="1:27" ht="15.75" customHeight="1" x14ac:dyDescent="0.2">
      <c r="A3" s="1" t="s">
        <v>2</v>
      </c>
      <c r="B3" s="2" t="s">
        <v>4</v>
      </c>
      <c r="C3" s="3">
        <f>VLOOKUP(C1,'[1]raw data1'!$A$6:$R$31,18)</f>
        <v>1781493.3847801371</v>
      </c>
      <c r="D3" s="3">
        <f>VLOOKUP(D1,'[1]raw data1'!$A$6:$R$31,18)</f>
        <v>2531553.3847801369</v>
      </c>
      <c r="E3" s="3">
        <f>VLOOKUP(E1,'[1]raw data1'!$A$6:$R$31,18)</f>
        <v>2672195.2394901449</v>
      </c>
      <c r="F3" s="3">
        <f>VLOOKUP(F1,'[1]raw data1'!$A$6:$R$31,18)</f>
        <v>3146197.0942001524</v>
      </c>
      <c r="G3" s="3">
        <f>VLOOKUP(G1,'[1]raw data1'!$A$6:$R$31,18)</f>
        <v>8343141.0945995841</v>
      </c>
      <c r="H3" s="3">
        <f>VLOOKUP(H1,'[1]raw data1'!$A$6:$R$31,18)</f>
        <v>8343141.0945995841</v>
      </c>
      <c r="I3" s="3">
        <f>VLOOKUP(I1,'[1]raw data1'!$A$6:$R$31,18)</f>
        <v>5529016.5284462282</v>
      </c>
      <c r="J3" s="3">
        <f>VLOOKUP(J1,'[1]raw data1'!$A$6:$R$31,18)</f>
        <v>8030259.5613729572</v>
      </c>
      <c r="K3" s="3">
        <f>VLOOKUP(K1,'[1]raw data1'!$A$6:$R$31,18)</f>
        <v>8379401.2814326501</v>
      </c>
      <c r="L3" s="3">
        <f>VLOOKUP(L1,'[1]raw data1'!$A$6:$R$31,18)</f>
        <v>11824342.390120467</v>
      </c>
      <c r="M3" s="3">
        <f>VLOOKUP(M1,'[1]raw data1'!$A$6:$R$31,18)</f>
        <v>13856364.168179721</v>
      </c>
      <c r="N3" s="3">
        <f>VLOOKUP(N1,'[1]raw data1'!$A$6:$R$31,18)</f>
        <v>15632769.382656157</v>
      </c>
      <c r="O3" s="3">
        <f>VLOOKUP(O1,'[1]raw data1'!$A$6:$R$31,18)</f>
        <v>15632769.382656157</v>
      </c>
      <c r="P3" s="3">
        <f>VLOOKUP(P1,'[1]raw data1'!$A$6:$R$31,18)</f>
        <v>15632769.382656157</v>
      </c>
      <c r="Q3" s="3">
        <f>VLOOKUP(Q1,'[1]raw data1'!$A$6:$R$31,18)</f>
        <v>17192287.740615528</v>
      </c>
      <c r="R3" s="3">
        <f>VLOOKUP(R1,'[1]raw data1'!$A$6:$R$31,18)</f>
        <v>17192287.740615528</v>
      </c>
      <c r="S3" s="3">
        <f>VLOOKUP(S1,'[1]raw data1'!$A$6:$R$31,18)</f>
        <v>18913610.649826363</v>
      </c>
      <c r="T3" s="3">
        <f>VLOOKUP(T1,'[1]raw data1'!$A$6:$R$31,18)</f>
        <v>18913610.649826363</v>
      </c>
      <c r="U3" s="3">
        <f>VLOOKUP(U1,'[1]raw data1'!$A$6:$R$31,18)</f>
        <v>20550588.918866064</v>
      </c>
      <c r="V3" s="3">
        <f>VLOOKUP(V1,'[1]raw data1'!$A$6:$R$31,18)</f>
        <v>20550588.918866064</v>
      </c>
      <c r="W3" s="3">
        <f>VLOOKUP(W1,'[1]raw data1'!$A$6:$R$31,18)</f>
        <v>21944430.003341835</v>
      </c>
      <c r="X3" s="3">
        <f>VLOOKUP(X1,'[1]raw data1'!$A$6:$R$31,18)</f>
        <v>21944430.003341835</v>
      </c>
      <c r="Y3" s="3">
        <f>VLOOKUP(Y1,'[1]raw data1'!$A$6:$R$31,18)</f>
        <v>21944430.003341835</v>
      </c>
      <c r="Z3" s="3">
        <f>VLOOKUP(Z1,'[1]raw data1'!$A$6:$R$31,18)</f>
        <v>21944430.003341835</v>
      </c>
      <c r="AA3" s="3">
        <f>VLOOKUP(AA1,'[1]raw data1'!$A$6:$R$31,18)</f>
        <v>21944430.003341835</v>
      </c>
    </row>
    <row r="4" spans="1:27" ht="15.75" customHeight="1" x14ac:dyDescent="0.2">
      <c r="A4" s="1" t="s">
        <v>5</v>
      </c>
      <c r="B4" s="4" t="s">
        <v>6</v>
      </c>
      <c r="C4" s="3">
        <f>(VLOOKUP(C1,'[1]raw data1'!$A$6:$N$31,14))*HLOOKUP(C1,[1]h2portion!$C$1:$AB$5,3)/HLOOKUP(C1,[1]h2portion!$C$1:$AB$5,2)</f>
        <v>0</v>
      </c>
      <c r="D4" s="3">
        <f>(VLOOKUP(D1,'[1]raw data1'!$A$6:$N$31,14))*HLOOKUP(D1,[1]h2portion!$C$1:$AB$5,3)/HLOOKUP(D1,[1]h2portion!$C$1:$AB$5,2)</f>
        <v>0</v>
      </c>
      <c r="E4" s="3">
        <f>(VLOOKUP(E1,'[1]raw data1'!$A$6:$N$31,14))*HLOOKUP(E1,[1]h2portion!$C$1:$AB$5,3)/HLOOKUP(E1,[1]h2portion!$C$1:$AB$5,2)</f>
        <v>0</v>
      </c>
      <c r="F4" s="3">
        <f>(VLOOKUP(F1,'[1]raw data1'!$A$6:$N$31,14))*HLOOKUP(F1,[1]h2portion!$C$1:$AB$5,3)/HLOOKUP(F1,[1]h2portion!$C$1:$AB$5,2)</f>
        <v>0</v>
      </c>
      <c r="G4" s="3">
        <f>(VLOOKUP(G1,'[1]raw data1'!$A$6:$N$31,14))*HLOOKUP(G1,[1]h2portion!$C$1:$AB$5,3)/HLOOKUP(G1,[1]h2portion!$C$1:$AB$5,2)</f>
        <v>1517752.7613716819</v>
      </c>
      <c r="H4" s="3">
        <f>(VLOOKUP(H1,'[1]raw data1'!$A$6:$N$31,14))*HLOOKUP(H1,[1]h2portion!$C$1:$AB$5,3)/HLOOKUP(H1,[1]h2portion!$C$1:$AB$5,2)</f>
        <v>1191235.1153780667</v>
      </c>
      <c r="I4" s="3">
        <f>(VLOOKUP(I1,'[1]raw data1'!$A$6:$N$31,14))*HLOOKUP(I1,[1]h2portion!$C$1:$AB$5,3)/HLOOKUP(I1,[1]h2portion!$C$1:$AB$5,2)</f>
        <v>1618921.7613047776</v>
      </c>
      <c r="J4" s="3">
        <f>(VLOOKUP(J1,'[1]raw data1'!$A$6:$N$31,14))*HLOOKUP(J1,[1]h2portion!$C$1:$AB$5,3)/HLOOKUP(J1,[1]h2portion!$C$1:$AB$5,2)</f>
        <v>2655807.1561525469</v>
      </c>
      <c r="K4" s="3">
        <f>(VLOOKUP(K1,'[1]raw data1'!$A$6:$N$31,14))*HLOOKUP(K1,[1]h2portion!$C$1:$AB$5,3)/HLOOKUP(K1,[1]h2portion!$C$1:$AB$5,2)</f>
        <v>2639820.144398876</v>
      </c>
      <c r="L4" s="3">
        <f>(VLOOKUP(L1,'[1]raw data1'!$A$6:$N$31,14))*HLOOKUP(L1,[1]h2portion!$C$1:$AB$5,3)/HLOOKUP(L1,[1]h2portion!$C$1:$AB$5,2)</f>
        <v>3941302.572784279</v>
      </c>
      <c r="M4" s="3">
        <f>(VLOOKUP(M1,'[1]raw data1'!$A$6:$N$31,14))*HLOOKUP(M1,[1]h2portion!$C$1:$AB$5,3)/HLOOKUP(M1,[1]h2portion!$C$1:$AB$5,2)</f>
        <v>4752159.2680624407</v>
      </c>
      <c r="N4" s="3">
        <f>(VLOOKUP(N1,'[1]raw data1'!$A$6:$N$31,14))*HLOOKUP(N1,[1]h2portion!$C$1:$AB$5,3)/HLOOKUP(N1,[1]h2portion!$C$1:$AB$5,2)</f>
        <v>5157451.7191206571</v>
      </c>
      <c r="O4" s="3">
        <f>(VLOOKUP(O1,'[1]raw data1'!$A$6:$N$31,14))*HLOOKUP(O1,[1]h2portion!$C$1:$AB$5,3)/HLOOKUP(O1,[1]h2portion!$C$1:$AB$5,2)</f>
        <v>4934547.4144848101</v>
      </c>
      <c r="P4" s="3">
        <f>(VLOOKUP(P1,'[1]raw data1'!$A$6:$N$31,14))*HLOOKUP(P1,[1]h2portion!$C$1:$AB$5,3)/HLOOKUP(P1,[1]h2portion!$C$1:$AB$5,2)</f>
        <v>4721856.5950946612</v>
      </c>
      <c r="Q4" s="3">
        <f>(VLOOKUP(Q1,'[1]raw data1'!$A$6:$N$31,14))*HLOOKUP(Q1,[1]h2portion!$C$1:$AB$5,3)/HLOOKUP(Q1,[1]h2portion!$C$1:$AB$5,2)</f>
        <v>5063669.1845153505</v>
      </c>
      <c r="R4" s="3">
        <f>(VLOOKUP(R1,'[1]raw data1'!$A$6:$N$31,14))*HLOOKUP(R1,[1]h2portion!$C$1:$AB$5,3)/HLOOKUP(R1,[1]h2portion!$C$1:$AB$5,2)</f>
        <v>4476331.1327334335</v>
      </c>
      <c r="S4" s="3">
        <f>(VLOOKUP(S1,'[1]raw data1'!$A$6:$N$31,14))*HLOOKUP(S1,[1]h2portion!$C$1:$AB$5,3)/HLOOKUP(S1,[1]h2portion!$C$1:$AB$5,2)</f>
        <v>4793899.8936988441</v>
      </c>
      <c r="T4" s="3">
        <f>(VLOOKUP(T1,'[1]raw data1'!$A$6:$N$31,14))*HLOOKUP(T1,[1]h2portion!$C$1:$AB$5,3)/HLOOKUP(T1,[1]h2portion!$C$1:$AB$5,2)</f>
        <v>4590125.846853625</v>
      </c>
      <c r="U4" s="3">
        <f>(VLOOKUP(U1,'[1]raw data1'!$A$6:$N$31,14))*HLOOKUP(U1,[1]h2portion!$C$1:$AB$5,3)/HLOOKUP(U1,[1]h2portion!$C$1:$AB$5,2)</f>
        <v>4838720.5388868488</v>
      </c>
      <c r="V4" s="3">
        <f>(VLOOKUP(V1,'[1]raw data1'!$A$6:$N$31,14))*HLOOKUP(V1,[1]h2portion!$C$1:$AB$5,3)/HLOOKUP(V1,[1]h2portion!$C$1:$AB$5,2)</f>
        <v>4634299.9214636618</v>
      </c>
      <c r="W4" s="3">
        <f>(VLOOKUP(W1,'[1]raw data1'!$A$6:$N$31,14))*HLOOKUP(W1,[1]h2portion!$C$1:$AB$5,3)/HLOOKUP(W1,[1]h2portion!$C$1:$AB$5,2)</f>
        <v>4785369.2975770747</v>
      </c>
      <c r="X4" s="3">
        <f>(VLOOKUP(X1,'[1]raw data1'!$A$6:$N$31,14))*HLOOKUP(X1,[1]h2portion!$C$1:$AB$5,3)/HLOOKUP(X1,[1]h2portion!$C$1:$AB$5,2)</f>
        <v>4583158.6540500242</v>
      </c>
      <c r="Y4" s="3">
        <f>(VLOOKUP(Y1,'[1]raw data1'!$A$6:$N$31,14))*HLOOKUP(Y1,[1]h2portion!$C$1:$AB$5,3)/HLOOKUP(Y1,[1]h2portion!$C$1:$AB$5,2)</f>
        <v>4390027.1710592611</v>
      </c>
      <c r="Z4" s="3">
        <f>(VLOOKUP(Z1,'[1]raw data1'!$A$6:$N$31,14))*HLOOKUP(Z1,[1]h2portion!$C$1:$AB$5,3)/HLOOKUP(Z1,[1]h2portion!$C$1:$AB$5,2)</f>
        <v>4205148.8401083043</v>
      </c>
      <c r="AA4" s="3">
        <f>(VLOOKUP(AA1,'[1]raw data1'!$A$6:$N$31,14))*HLOOKUP(AA1,[1]h2portion!$C$1:$AB$5,3)/HLOOKUP(AA1,[1]h2portion!$C$1:$AB$5,2)</f>
        <v>4028524.6516150129</v>
      </c>
    </row>
    <row r="5" spans="1:27" ht="15.75" customHeight="1" x14ac:dyDescent="0.2">
      <c r="A5" s="1" t="s">
        <v>5</v>
      </c>
      <c r="B5" s="4" t="s">
        <v>7</v>
      </c>
      <c r="C5" s="3">
        <f>(VLOOKUP(C1,'[1]raw data1'!$A$6:$N$31,14))*HLOOKUP(C1,[1]h2portion!$C$1:$AB$5,4)/HLOOKUP(C1,[1]h2portion!$C$1:$AB$5,2)</f>
        <v>0</v>
      </c>
      <c r="D5" s="3">
        <f>(VLOOKUP(D1,'[1]raw data1'!$A$6:$N$31,14))*HLOOKUP(D1,[1]h2portion!$C$1:$AB$5,4)/HLOOKUP(D1,[1]h2portion!$C$1:$AB$5,2)</f>
        <v>0</v>
      </c>
      <c r="E5" s="3">
        <f>(VLOOKUP(E1,'[1]raw data1'!$A$6:$N$31,14))*HLOOKUP(E1,[1]h2portion!$C$1:$AB$5,4)/HLOOKUP(E1,[1]h2portion!$C$1:$AB$5,2)</f>
        <v>0</v>
      </c>
      <c r="F5" s="3">
        <f>(VLOOKUP(F1,'[1]raw data1'!$A$6:$N$31,14))*HLOOKUP(F1,[1]h2portion!$C$1:$AB$5,4)/HLOOKUP(F1,[1]h2portion!$C$1:$AB$5,2)</f>
        <v>0</v>
      </c>
      <c r="G5" s="3">
        <f>(VLOOKUP(G1,'[1]raw data1'!$A$6:$N$31,14))*HLOOKUP(G1,[1]h2portion!$C$1:$AB$5,4)/HLOOKUP(G1,[1]h2portion!$C$1:$AB$5,2)</f>
        <v>1634502.9737848884</v>
      </c>
      <c r="H5" s="3">
        <f>(VLOOKUP(H1,'[1]raw data1'!$A$6:$N$31,14))*HLOOKUP(H1,[1]h2portion!$C$1:$AB$5,4)/HLOOKUP(H1,[1]h2portion!$C$1:$AB$5,2)</f>
        <v>1509821.2508861544</v>
      </c>
      <c r="I5" s="3">
        <f>(VLOOKUP(I1,'[1]raw data1'!$A$6:$N$31,14))*HLOOKUP(I1,[1]h2portion!$C$1:$AB$5,4)/HLOOKUP(I1,[1]h2portion!$C$1:$AB$5,2)</f>
        <v>2051889.20909559</v>
      </c>
      <c r="J5" s="3">
        <f>(VLOOKUP(J1,'[1]raw data1'!$A$6:$N$31,14))*HLOOKUP(J1,[1]h2portion!$C$1:$AB$5,4)/HLOOKUP(J1,[1]h2portion!$C$1:$AB$5,2)</f>
        <v>3366081.1630305536</v>
      </c>
      <c r="K5" s="3">
        <f>(VLOOKUP(K1,'[1]raw data1'!$A$6:$N$31,14))*HLOOKUP(K1,[1]h2portion!$C$1:$AB$5,4)/HLOOKUP(K1,[1]h2portion!$C$1:$AB$5,2)</f>
        <v>3345818.5551102036</v>
      </c>
      <c r="L5" s="3">
        <f>(VLOOKUP(L1,'[1]raw data1'!$A$6:$N$31,14))*HLOOKUP(L1,[1]h2portion!$C$1:$AB$5,4)/HLOOKUP(L1,[1]h2portion!$C$1:$AB$5,2)</f>
        <v>4995371.8655056562</v>
      </c>
      <c r="M5" s="3">
        <f>(VLOOKUP(M1,'[1]raw data1'!$A$6:$N$31,14))*HLOOKUP(M1,[1]h2portion!$C$1:$AB$5,4)/HLOOKUP(M1,[1]h2portion!$C$1:$AB$5,2)</f>
        <v>6023085.5839396045</v>
      </c>
      <c r="N5" s="3">
        <f>(VLOOKUP(N1,'[1]raw data1'!$A$6:$N$31,14))*HLOOKUP(N1,[1]h2portion!$C$1:$AB$5,4)/HLOOKUP(N1,[1]h2portion!$C$1:$AB$5,2)</f>
        <v>6536770.202141297</v>
      </c>
      <c r="O5" s="3">
        <f>(VLOOKUP(O1,'[1]raw data1'!$A$6:$N$31,14))*HLOOKUP(O1,[1]h2portion!$C$1:$AB$5,4)/HLOOKUP(O1,[1]h2portion!$C$1:$AB$5,2)</f>
        <v>6254251.9555679578</v>
      </c>
      <c r="P5" s="3">
        <f>(VLOOKUP(P1,'[1]raw data1'!$A$6:$N$31,14))*HLOOKUP(P1,[1]h2portion!$C$1:$AB$5,4)/HLOOKUP(P1,[1]h2portion!$C$1:$AB$5,2)</f>
        <v>5984678.7077362565</v>
      </c>
      <c r="Q5" s="3">
        <f>(VLOOKUP(Q1,'[1]raw data1'!$A$6:$N$31,14))*HLOOKUP(Q1,[1]h2portion!$C$1:$AB$5,4)/HLOOKUP(Q1,[1]h2portion!$C$1:$AB$5,2)</f>
        <v>6417906.2920020148</v>
      </c>
      <c r="R5" s="3">
        <f>(VLOOKUP(R1,'[1]raw data1'!$A$6:$N$31,14))*HLOOKUP(R1,[1]h2portion!$C$1:$AB$5,4)/HLOOKUP(R1,[1]h2portion!$C$1:$AB$5,2)</f>
        <v>5093756.1165587353</v>
      </c>
      <c r="S5" s="3">
        <f>(VLOOKUP(S1,'[1]raw data1'!$A$6:$N$31,14))*HLOOKUP(S1,[1]h2portion!$C$1:$AB$5,4)/HLOOKUP(S1,[1]h2portion!$C$1:$AB$5,2)</f>
        <v>5455127.4652435128</v>
      </c>
      <c r="T5" s="3">
        <f>(VLOOKUP(T1,'[1]raw data1'!$A$6:$N$31,14))*HLOOKUP(T1,[1]h2portion!$C$1:$AB$5,4)/HLOOKUP(T1,[1]h2portion!$C$1:$AB$5,2)</f>
        <v>5223246.6533161942</v>
      </c>
      <c r="U5" s="3">
        <f>(VLOOKUP(U1,'[1]raw data1'!$A$6:$N$31,14))*HLOOKUP(U1,[1]h2portion!$C$1:$AB$5,4)/HLOOKUP(U1,[1]h2portion!$C$1:$AB$5,2)</f>
        <v>5506130.2683884837</v>
      </c>
      <c r="V5" s="3">
        <f>(VLOOKUP(V1,'[1]raw data1'!$A$6:$N$31,14))*HLOOKUP(V1,[1]h2portion!$C$1:$AB$5,4)/HLOOKUP(V1,[1]h2portion!$C$1:$AB$5,2)</f>
        <v>5273513.7037345115</v>
      </c>
      <c r="W5" s="3">
        <f>(VLOOKUP(W1,'[1]raw data1'!$A$6:$N$31,14))*HLOOKUP(W1,[1]h2portion!$C$1:$AB$5,4)/HLOOKUP(W1,[1]h2portion!$C$1:$AB$5,2)</f>
        <v>5445420.2351739127</v>
      </c>
      <c r="X5" s="3">
        <f>(VLOOKUP(X1,'[1]raw data1'!$A$6:$N$31,14))*HLOOKUP(X1,[1]h2portion!$C$1:$AB$5,4)/HLOOKUP(X1,[1]h2portion!$C$1:$AB$5,2)</f>
        <v>5215318.4684017524</v>
      </c>
      <c r="Y5" s="3">
        <f>(VLOOKUP(Y1,'[1]raw data1'!$A$6:$N$31,14))*HLOOKUP(Y1,[1]h2portion!$C$1:$AB$5,4)/HLOOKUP(Y1,[1]h2portion!$C$1:$AB$5,2)</f>
        <v>4995548.1601708839</v>
      </c>
      <c r="Z5" s="3">
        <f>(VLOOKUP(Z1,'[1]raw data1'!$A$6:$N$31,14))*HLOOKUP(Z1,[1]h2portion!$C$1:$AB$5,4)/HLOOKUP(Z1,[1]h2portion!$C$1:$AB$5,2)</f>
        <v>4785169.3697784152</v>
      </c>
      <c r="AA5" s="3">
        <f>(VLOOKUP(AA1,'[1]raw data1'!$A$6:$N$31,14))*HLOOKUP(AA1,[1]h2portion!$C$1:$AB$5,4)/HLOOKUP(AA1,[1]h2portion!$C$1:$AB$5,2)</f>
        <v>4584183.2242515665</v>
      </c>
    </row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LeeYeongju</dc:creator>
  <cp:lastModifiedBy>LeeYeongju</cp:lastModifiedBy>
  <dcterms:created xsi:type="dcterms:W3CDTF">2025-11-11T13:23:57Z</dcterms:created>
  <dcterms:modified xsi:type="dcterms:W3CDTF">2025-11-11T13:24:18Z</dcterms:modified>
</cp:coreProperties>
</file>