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younglee/Downloads/"/>
    </mc:Choice>
  </mc:AlternateContent>
  <xr:revisionPtr revIDLastSave="0" documentId="13_ncr:1_{5A58AB9C-F853-B64F-BF7A-A49769E2301C}" xr6:coauthVersionLast="47" xr6:coauthVersionMax="47" xr10:uidLastSave="{00000000-0000-0000-0000-000000000000}"/>
  <bookViews>
    <workbookView xWindow="0" yWindow="780" windowWidth="29400" windowHeight="17060" activeTab="4" xr2:uid="{00000000-000D-0000-FFFF-FFFF00000000}"/>
  </bookViews>
  <sheets>
    <sheet name="Scenario1" sheetId="1" r:id="rId1"/>
    <sheet name="Scenario2" sheetId="3" r:id="rId2"/>
    <sheet name="raw data1" sheetId="5" r:id="rId3"/>
    <sheet name="raw data2" sheetId="7" r:id="rId4"/>
    <sheet name="parameters" sheetId="9" r:id="rId5"/>
    <sheet name="h2portion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4" roundtripDataChecksum="kjW5UWoIk+7FdnvSCNimk6ZHTqDXyRdRkvw4425KBDk="/>
    </ext>
  </extLst>
</workbook>
</file>

<file path=xl/calcChain.xml><?xml version="1.0" encoding="utf-8"?>
<calcChain xmlns="http://schemas.openxmlformats.org/spreadsheetml/2006/main">
  <c r="O7" i="7" l="1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6" i="7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6" i="5"/>
  <c r="F7" i="9" l="1"/>
  <c r="G7" i="9" s="1"/>
  <c r="B7" i="9"/>
  <c r="Q31" i="7"/>
  <c r="P31" i="7"/>
  <c r="N31" i="7"/>
  <c r="J31" i="7"/>
  <c r="H31" i="7"/>
  <c r="D31" i="7"/>
  <c r="Q30" i="7"/>
  <c r="P30" i="7"/>
  <c r="N30" i="7"/>
  <c r="J30" i="7"/>
  <c r="D30" i="7"/>
  <c r="H30" i="7" s="1"/>
  <c r="Q29" i="7"/>
  <c r="P29" i="7"/>
  <c r="N29" i="7"/>
  <c r="J29" i="7"/>
  <c r="H29" i="7"/>
  <c r="D29" i="7"/>
  <c r="Q28" i="7"/>
  <c r="P28" i="7"/>
  <c r="N28" i="7"/>
  <c r="J28" i="7"/>
  <c r="H28" i="7"/>
  <c r="D28" i="7"/>
  <c r="Q27" i="7"/>
  <c r="P27" i="7"/>
  <c r="N27" i="7"/>
  <c r="J27" i="7"/>
  <c r="H27" i="7"/>
  <c r="D27" i="7"/>
  <c r="Q26" i="7"/>
  <c r="P26" i="7"/>
  <c r="N26" i="7"/>
  <c r="J26" i="7"/>
  <c r="D26" i="7"/>
  <c r="H26" i="7" s="1"/>
  <c r="Q25" i="7"/>
  <c r="P25" i="7"/>
  <c r="N25" i="7"/>
  <c r="J25" i="7"/>
  <c r="H25" i="7"/>
  <c r="D25" i="7"/>
  <c r="Q24" i="7"/>
  <c r="P24" i="7"/>
  <c r="N24" i="7"/>
  <c r="J24" i="7"/>
  <c r="H24" i="7"/>
  <c r="D24" i="7"/>
  <c r="Q23" i="7"/>
  <c r="P23" i="7"/>
  <c r="N23" i="7"/>
  <c r="J23" i="7"/>
  <c r="H23" i="7"/>
  <c r="D23" i="7"/>
  <c r="Q22" i="7"/>
  <c r="P22" i="7"/>
  <c r="N22" i="7"/>
  <c r="J22" i="7"/>
  <c r="D22" i="7"/>
  <c r="H22" i="7" s="1"/>
  <c r="Q21" i="7"/>
  <c r="P21" i="7"/>
  <c r="N21" i="7"/>
  <c r="J21" i="7"/>
  <c r="H21" i="7"/>
  <c r="D21" i="7"/>
  <c r="Q20" i="7"/>
  <c r="P20" i="7"/>
  <c r="N20" i="7"/>
  <c r="J20" i="7"/>
  <c r="H20" i="7"/>
  <c r="D20" i="7"/>
  <c r="Q19" i="7"/>
  <c r="P19" i="7"/>
  <c r="N19" i="7"/>
  <c r="J19" i="7"/>
  <c r="H19" i="7"/>
  <c r="D19" i="7"/>
  <c r="Q18" i="7"/>
  <c r="P18" i="7"/>
  <c r="N18" i="7"/>
  <c r="J18" i="7"/>
  <c r="D18" i="7"/>
  <c r="H18" i="7" s="1"/>
  <c r="Q17" i="7"/>
  <c r="P17" i="7"/>
  <c r="N17" i="7"/>
  <c r="J17" i="7"/>
  <c r="H17" i="7"/>
  <c r="D17" i="7"/>
  <c r="Q16" i="7"/>
  <c r="P16" i="7"/>
  <c r="N16" i="7"/>
  <c r="J16" i="7"/>
  <c r="H16" i="7"/>
  <c r="D16" i="7"/>
  <c r="Q15" i="7"/>
  <c r="P15" i="7"/>
  <c r="N15" i="7"/>
  <c r="J15" i="7"/>
  <c r="H15" i="7"/>
  <c r="D15" i="7"/>
  <c r="Q14" i="7"/>
  <c r="P14" i="7"/>
  <c r="N14" i="7"/>
  <c r="J14" i="7"/>
  <c r="D14" i="7"/>
  <c r="H14" i="7" s="1"/>
  <c r="Q13" i="7"/>
  <c r="P13" i="7"/>
  <c r="N13" i="7"/>
  <c r="J13" i="7"/>
  <c r="H13" i="7"/>
  <c r="D13" i="7"/>
  <c r="Q12" i="7"/>
  <c r="P12" i="7"/>
  <c r="N12" i="7"/>
  <c r="J12" i="7"/>
  <c r="H12" i="7"/>
  <c r="D12" i="7"/>
  <c r="Q11" i="7"/>
  <c r="P11" i="7"/>
  <c r="N11" i="7"/>
  <c r="J11" i="7"/>
  <c r="H11" i="7"/>
  <c r="D11" i="7"/>
  <c r="Q10" i="7"/>
  <c r="P10" i="7"/>
  <c r="N10" i="7"/>
  <c r="J10" i="7"/>
  <c r="D10" i="7"/>
  <c r="H10" i="7" s="1"/>
  <c r="Q9" i="7"/>
  <c r="P9" i="7"/>
  <c r="N9" i="7"/>
  <c r="J9" i="7"/>
  <c r="H9" i="7"/>
  <c r="D9" i="7"/>
  <c r="Q8" i="7"/>
  <c r="P8" i="7"/>
  <c r="N8" i="7"/>
  <c r="J8" i="7"/>
  <c r="H8" i="7"/>
  <c r="D8" i="7"/>
  <c r="Q7" i="7"/>
  <c r="P7" i="7"/>
  <c r="N7" i="7"/>
  <c r="K7" i="7"/>
  <c r="K8" i="7" s="1"/>
  <c r="J7" i="7"/>
  <c r="D7" i="7"/>
  <c r="H7" i="7" s="1"/>
  <c r="Q6" i="7"/>
  <c r="P6" i="7"/>
  <c r="N6" i="7"/>
  <c r="D6" i="7"/>
  <c r="H6" i="7" s="1"/>
  <c r="Q31" i="5"/>
  <c r="P31" i="5"/>
  <c r="N31" i="5"/>
  <c r="J31" i="5"/>
  <c r="D31" i="5"/>
  <c r="H31" i="5" s="1"/>
  <c r="Q30" i="5"/>
  <c r="P30" i="5"/>
  <c r="N30" i="5"/>
  <c r="J30" i="5"/>
  <c r="H30" i="5"/>
  <c r="D30" i="5"/>
  <c r="Q29" i="5"/>
  <c r="P29" i="5"/>
  <c r="N29" i="5"/>
  <c r="J29" i="5"/>
  <c r="H29" i="5"/>
  <c r="D29" i="5"/>
  <c r="Q28" i="5"/>
  <c r="P28" i="5"/>
  <c r="N28" i="5"/>
  <c r="J28" i="5"/>
  <c r="D28" i="5"/>
  <c r="H28" i="5" s="1"/>
  <c r="Q27" i="5"/>
  <c r="P27" i="5"/>
  <c r="N27" i="5"/>
  <c r="J27" i="5"/>
  <c r="D27" i="5"/>
  <c r="H27" i="5" s="1"/>
  <c r="Q26" i="5"/>
  <c r="P26" i="5"/>
  <c r="N26" i="5"/>
  <c r="J26" i="5"/>
  <c r="H26" i="5"/>
  <c r="D26" i="5"/>
  <c r="Q25" i="5"/>
  <c r="P25" i="5"/>
  <c r="N25" i="5"/>
  <c r="J25" i="5"/>
  <c r="H25" i="5"/>
  <c r="D25" i="5"/>
  <c r="Q24" i="5"/>
  <c r="P24" i="5"/>
  <c r="N24" i="5"/>
  <c r="J24" i="5"/>
  <c r="D24" i="5"/>
  <c r="H24" i="5" s="1"/>
  <c r="Q23" i="5"/>
  <c r="P23" i="5"/>
  <c r="N23" i="5"/>
  <c r="J23" i="5"/>
  <c r="D23" i="5"/>
  <c r="H23" i="5" s="1"/>
  <c r="Q22" i="5"/>
  <c r="P22" i="5"/>
  <c r="N22" i="5"/>
  <c r="J22" i="5"/>
  <c r="H22" i="5"/>
  <c r="D22" i="5"/>
  <c r="Q21" i="5"/>
  <c r="P21" i="5"/>
  <c r="N21" i="5"/>
  <c r="J21" i="5"/>
  <c r="H21" i="5"/>
  <c r="D21" i="5"/>
  <c r="Q20" i="5"/>
  <c r="P20" i="5"/>
  <c r="N20" i="5"/>
  <c r="J20" i="5"/>
  <c r="D20" i="5"/>
  <c r="H20" i="5" s="1"/>
  <c r="Q19" i="5"/>
  <c r="P19" i="5"/>
  <c r="N19" i="5"/>
  <c r="J19" i="5"/>
  <c r="D19" i="5"/>
  <c r="H19" i="5" s="1"/>
  <c r="Q18" i="5"/>
  <c r="P18" i="5"/>
  <c r="N18" i="5"/>
  <c r="J18" i="5"/>
  <c r="H18" i="5"/>
  <c r="D18" i="5"/>
  <c r="Q17" i="5"/>
  <c r="P17" i="5"/>
  <c r="N17" i="5"/>
  <c r="J17" i="5"/>
  <c r="H17" i="5"/>
  <c r="D17" i="5"/>
  <c r="Q16" i="5"/>
  <c r="P16" i="5"/>
  <c r="N16" i="5"/>
  <c r="J16" i="5"/>
  <c r="D16" i="5"/>
  <c r="H16" i="5" s="1"/>
  <c r="Q15" i="5"/>
  <c r="P15" i="5"/>
  <c r="N15" i="5"/>
  <c r="J15" i="5"/>
  <c r="D15" i="5"/>
  <c r="H15" i="5" s="1"/>
  <c r="Q14" i="5"/>
  <c r="P14" i="5"/>
  <c r="N14" i="5"/>
  <c r="J14" i="5"/>
  <c r="D14" i="5"/>
  <c r="H14" i="5" s="1"/>
  <c r="Q13" i="5"/>
  <c r="P13" i="5"/>
  <c r="N13" i="5"/>
  <c r="J13" i="5"/>
  <c r="H13" i="5"/>
  <c r="D13" i="5"/>
  <c r="Q12" i="5"/>
  <c r="P12" i="5"/>
  <c r="N12" i="5"/>
  <c r="J12" i="5"/>
  <c r="D12" i="5"/>
  <c r="H12" i="5" s="1"/>
  <c r="Q11" i="5"/>
  <c r="P11" i="5"/>
  <c r="N11" i="5"/>
  <c r="J11" i="5"/>
  <c r="D11" i="5"/>
  <c r="H11" i="5" s="1"/>
  <c r="Q10" i="5"/>
  <c r="P10" i="5"/>
  <c r="N10" i="5"/>
  <c r="J10" i="5"/>
  <c r="D10" i="5"/>
  <c r="H10" i="5" s="1"/>
  <c r="Q9" i="5"/>
  <c r="P9" i="5"/>
  <c r="N9" i="5"/>
  <c r="J9" i="5"/>
  <c r="H9" i="5"/>
  <c r="D9" i="5"/>
  <c r="Q8" i="5"/>
  <c r="P8" i="5"/>
  <c r="N8" i="5"/>
  <c r="J8" i="5"/>
  <c r="D8" i="5"/>
  <c r="H8" i="5" s="1"/>
  <c r="Q7" i="5"/>
  <c r="P7" i="5"/>
  <c r="N7" i="5"/>
  <c r="J7" i="5"/>
  <c r="K7" i="5" s="1"/>
  <c r="D7" i="5"/>
  <c r="H7" i="5" s="1"/>
  <c r="Q6" i="5"/>
  <c r="P6" i="5"/>
  <c r="N6" i="5"/>
  <c r="H6" i="5"/>
  <c r="D6" i="5"/>
  <c r="AA5" i="3"/>
  <c r="Z5" i="3"/>
  <c r="Y5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C4" i="3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K8" i="5" l="1"/>
  <c r="M7" i="5"/>
  <c r="C2" i="1" s="1"/>
  <c r="K9" i="7"/>
  <c r="M8" i="7"/>
  <c r="D2" i="3" s="1"/>
  <c r="R30" i="7"/>
  <c r="Z3" i="3" s="1"/>
  <c r="R26" i="7"/>
  <c r="V3" i="3" s="1"/>
  <c r="R22" i="7"/>
  <c r="R3" i="3" s="1"/>
  <c r="R18" i="7"/>
  <c r="N3" i="3" s="1"/>
  <c r="R14" i="7"/>
  <c r="J3" i="3" s="1"/>
  <c r="R10" i="7"/>
  <c r="F3" i="3" s="1"/>
  <c r="R6" i="7"/>
  <c r="R31" i="5"/>
  <c r="AA3" i="1" s="1"/>
  <c r="R27" i="5"/>
  <c r="W3" i="1" s="1"/>
  <c r="R23" i="5"/>
  <c r="S3" i="1" s="1"/>
  <c r="R19" i="5"/>
  <c r="O3" i="1" s="1"/>
  <c r="R15" i="5"/>
  <c r="K3" i="1" s="1"/>
  <c r="R11" i="5"/>
  <c r="G3" i="1" s="1"/>
  <c r="R7" i="5"/>
  <c r="C3" i="1" s="1"/>
  <c r="R29" i="7"/>
  <c r="Y3" i="3" s="1"/>
  <c r="R25" i="7"/>
  <c r="U3" i="3" s="1"/>
  <c r="R21" i="7"/>
  <c r="Q3" i="3" s="1"/>
  <c r="R17" i="7"/>
  <c r="M3" i="3" s="1"/>
  <c r="R13" i="7"/>
  <c r="I3" i="3" s="1"/>
  <c r="R9" i="7"/>
  <c r="E3" i="3" s="1"/>
  <c r="R30" i="5"/>
  <c r="Z3" i="1" s="1"/>
  <c r="R26" i="5"/>
  <c r="V3" i="1" s="1"/>
  <c r="R22" i="5"/>
  <c r="R3" i="1" s="1"/>
  <c r="R18" i="5"/>
  <c r="N3" i="1" s="1"/>
  <c r="R14" i="5"/>
  <c r="J3" i="1" s="1"/>
  <c r="R10" i="5"/>
  <c r="F3" i="1" s="1"/>
  <c r="R6" i="5"/>
  <c r="R28" i="7"/>
  <c r="X3" i="3" s="1"/>
  <c r="R24" i="7"/>
  <c r="T3" i="3" s="1"/>
  <c r="R20" i="7"/>
  <c r="P3" i="3" s="1"/>
  <c r="R16" i="7"/>
  <c r="L3" i="3" s="1"/>
  <c r="R12" i="7"/>
  <c r="H3" i="3" s="1"/>
  <c r="R8" i="7"/>
  <c r="D3" i="3" s="1"/>
  <c r="R29" i="5"/>
  <c r="Y3" i="1" s="1"/>
  <c r="R25" i="5"/>
  <c r="U3" i="1" s="1"/>
  <c r="R21" i="5"/>
  <c r="Q3" i="1" s="1"/>
  <c r="R17" i="5"/>
  <c r="M3" i="1" s="1"/>
  <c r="R13" i="5"/>
  <c r="I3" i="1" s="1"/>
  <c r="R9" i="5"/>
  <c r="E3" i="1" s="1"/>
  <c r="R31" i="7"/>
  <c r="AA3" i="3" s="1"/>
  <c r="R27" i="7"/>
  <c r="W3" i="3" s="1"/>
  <c r="R23" i="7"/>
  <c r="S3" i="3" s="1"/>
  <c r="R19" i="7"/>
  <c r="O3" i="3" s="1"/>
  <c r="R15" i="7"/>
  <c r="K3" i="3" s="1"/>
  <c r="R11" i="7"/>
  <c r="G3" i="3" s="1"/>
  <c r="R7" i="7"/>
  <c r="C3" i="3" s="1"/>
  <c r="R28" i="5"/>
  <c r="X3" i="1" s="1"/>
  <c r="R24" i="5"/>
  <c r="T3" i="1" s="1"/>
  <c r="R20" i="5"/>
  <c r="P3" i="1" s="1"/>
  <c r="R16" i="5"/>
  <c r="L3" i="1" s="1"/>
  <c r="R12" i="5"/>
  <c r="H3" i="1" s="1"/>
  <c r="R8" i="5"/>
  <c r="D3" i="1" s="1"/>
  <c r="M7" i="7"/>
  <c r="C2" i="3" s="1"/>
  <c r="K10" i="7" l="1"/>
  <c r="M9" i="7"/>
  <c r="E2" i="3" s="1"/>
  <c r="K9" i="5"/>
  <c r="M8" i="5"/>
  <c r="D2" i="1" s="1"/>
  <c r="K10" i="5" l="1"/>
  <c r="M9" i="5"/>
  <c r="E2" i="1" s="1"/>
  <c r="K11" i="7"/>
  <c r="M10" i="7"/>
  <c r="F2" i="3" s="1"/>
  <c r="K12" i="7" l="1"/>
  <c r="M11" i="7"/>
  <c r="G2" i="3" s="1"/>
  <c r="K11" i="5"/>
  <c r="M10" i="5"/>
  <c r="F2" i="1" s="1"/>
  <c r="K12" i="5" l="1"/>
  <c r="M11" i="5"/>
  <c r="G2" i="1" s="1"/>
  <c r="K13" i="7"/>
  <c r="M12" i="7"/>
  <c r="H2" i="3" s="1"/>
  <c r="K14" i="7" l="1"/>
  <c r="M13" i="7"/>
  <c r="I2" i="3" s="1"/>
  <c r="K13" i="5"/>
  <c r="M12" i="5"/>
  <c r="H2" i="1" s="1"/>
  <c r="K14" i="5" l="1"/>
  <c r="M13" i="5"/>
  <c r="I2" i="1" s="1"/>
  <c r="K15" i="7"/>
  <c r="M14" i="7"/>
  <c r="J2" i="3" s="1"/>
  <c r="K16" i="7" l="1"/>
  <c r="M15" i="7"/>
  <c r="K2" i="3" s="1"/>
  <c r="K15" i="5"/>
  <c r="M14" i="5"/>
  <c r="J2" i="1" s="1"/>
  <c r="K16" i="5" l="1"/>
  <c r="M15" i="5"/>
  <c r="K2" i="1" s="1"/>
  <c r="K17" i="7"/>
  <c r="M16" i="7"/>
  <c r="L2" i="3" s="1"/>
  <c r="K18" i="7" l="1"/>
  <c r="M17" i="7"/>
  <c r="M2" i="3" s="1"/>
  <c r="K17" i="5"/>
  <c r="M16" i="5"/>
  <c r="L2" i="1" s="1"/>
  <c r="K18" i="5" l="1"/>
  <c r="M17" i="5"/>
  <c r="M2" i="1" s="1"/>
  <c r="K19" i="7"/>
  <c r="M18" i="7"/>
  <c r="N2" i="3" s="1"/>
  <c r="K20" i="7" l="1"/>
  <c r="M19" i="7"/>
  <c r="O2" i="3" s="1"/>
  <c r="K19" i="5"/>
  <c r="M18" i="5"/>
  <c r="N2" i="1" s="1"/>
  <c r="K20" i="5" l="1"/>
  <c r="M19" i="5"/>
  <c r="O2" i="1" s="1"/>
  <c r="K21" i="7"/>
  <c r="M20" i="7"/>
  <c r="P2" i="3" s="1"/>
  <c r="K22" i="7" l="1"/>
  <c r="M21" i="7"/>
  <c r="Q2" i="3" s="1"/>
  <c r="K21" i="5"/>
  <c r="M20" i="5"/>
  <c r="P2" i="1" s="1"/>
  <c r="K22" i="5" l="1"/>
  <c r="M21" i="5"/>
  <c r="Q2" i="1" s="1"/>
  <c r="K23" i="7"/>
  <c r="M22" i="7"/>
  <c r="R2" i="3" s="1"/>
  <c r="K24" i="7" l="1"/>
  <c r="M23" i="7"/>
  <c r="S2" i="3" s="1"/>
  <c r="K23" i="5"/>
  <c r="M22" i="5"/>
  <c r="R2" i="1" s="1"/>
  <c r="K24" i="5" l="1"/>
  <c r="M23" i="5"/>
  <c r="S2" i="1" s="1"/>
  <c r="K25" i="7"/>
  <c r="M24" i="7"/>
  <c r="T2" i="3" s="1"/>
  <c r="K26" i="7" l="1"/>
  <c r="M25" i="7"/>
  <c r="U2" i="3" s="1"/>
  <c r="K25" i="5"/>
  <c r="M24" i="5"/>
  <c r="T2" i="1" s="1"/>
  <c r="K26" i="5" l="1"/>
  <c r="M25" i="5"/>
  <c r="U2" i="1" s="1"/>
  <c r="K27" i="7"/>
  <c r="M26" i="7"/>
  <c r="V2" i="3" s="1"/>
  <c r="K28" i="7" l="1"/>
  <c r="M27" i="7"/>
  <c r="W2" i="3" s="1"/>
  <c r="K27" i="5"/>
  <c r="M26" i="5"/>
  <c r="V2" i="1" s="1"/>
  <c r="K28" i="5" l="1"/>
  <c r="M27" i="5"/>
  <c r="W2" i="1" s="1"/>
  <c r="K29" i="7"/>
  <c r="M28" i="7"/>
  <c r="X2" i="3" s="1"/>
  <c r="K29" i="5" l="1"/>
  <c r="M28" i="5"/>
  <c r="X2" i="1" s="1"/>
  <c r="K30" i="7"/>
  <c r="M29" i="7"/>
  <c r="Y2" i="3" s="1"/>
  <c r="K31" i="7" l="1"/>
  <c r="M31" i="7" s="1"/>
  <c r="AA2" i="3" s="1"/>
  <c r="M30" i="7"/>
  <c r="Z2" i="3" s="1"/>
  <c r="K30" i="5"/>
  <c r="M29" i="5"/>
  <c r="Y2" i="1" s="1"/>
  <c r="K31" i="5" l="1"/>
  <c r="M31" i="5" s="1"/>
  <c r="AA2" i="1" s="1"/>
  <c r="M30" i="5"/>
  <c r="Z2" i="1" s="1"/>
</calcChain>
</file>

<file path=xl/sharedStrings.xml><?xml version="1.0" encoding="utf-8"?>
<sst xmlns="http://schemas.openxmlformats.org/spreadsheetml/2006/main" count="136" uniqueCount="57">
  <si>
    <t>input</t>
  </si>
  <si>
    <t>sector</t>
  </si>
  <si>
    <t>iotable_2023.xlsx</t>
  </si>
  <si>
    <t>1610</t>
  </si>
  <si>
    <t>4506</t>
  </si>
  <si>
    <t>hydrogentable.xlsx</t>
  </si>
  <si>
    <t>H2S</t>
  </si>
  <si>
    <t>H2T</t>
  </si>
  <si>
    <t>Consumption(조강생산량 100만톤 고정 기준)</t>
  </si>
  <si>
    <t>reference</t>
  </si>
  <si>
    <t>PLANiT</t>
  </si>
  <si>
    <t>석탄사용감소</t>
  </si>
  <si>
    <t>수소사용증가</t>
  </si>
  <si>
    <t>재생전력증가</t>
  </si>
  <si>
    <t>Coal_BB</t>
  </si>
  <si>
    <t>Coal_BX</t>
  </si>
  <si>
    <t>Coal_total</t>
  </si>
  <si>
    <t>Hydrogen H2</t>
  </si>
  <si>
    <t>Electricity_H2</t>
  </si>
  <si>
    <t>Electricity EAF</t>
  </si>
  <si>
    <t>Total</t>
  </si>
  <si>
    <t>석탄감소량</t>
  </si>
  <si>
    <t>석탄감소량_누적</t>
  </si>
  <si>
    <t>부생가스전력전환</t>
  </si>
  <si>
    <t>전기로등 설비 전력</t>
  </si>
  <si>
    <t>수소생산용</t>
  </si>
  <si>
    <t>총합</t>
  </si>
  <si>
    <t>unit</t>
  </si>
  <si>
    <t>GJ</t>
  </si>
  <si>
    <t>백만원</t>
  </si>
  <si>
    <t>유연탄(원료용) 순발열량</t>
  </si>
  <si>
    <t>unit conversion</t>
  </si>
  <si>
    <t>그린수소 생산에 필요한 전력량</t>
  </si>
  <si>
    <t>부생가스 에너지 사용량</t>
  </si>
  <si>
    <t>고로 비율_
scenario1</t>
  </si>
  <si>
    <t>고로 비율_
scenario2</t>
  </si>
  <si>
    <t>석탄가격</t>
  </si>
  <si>
    <t>수소가격</t>
  </si>
  <si>
    <t>재생전력가격</t>
  </si>
  <si>
    <t>출처</t>
  </si>
  <si>
    <t>IPCC</t>
  </si>
  <si>
    <t>universal</t>
  </si>
  <si>
    <t>IEA, Comparison of the emissions intensity of different hydrogen production routes, 2021</t>
  </si>
  <si>
    <t>US DOE, Hydrogen storage</t>
  </si>
  <si>
    <t>2024POSCO ESG factbook</t>
  </si>
  <si>
    <t>PLANIT</t>
  </si>
  <si>
    <t>ton/GJ</t>
  </si>
  <si>
    <t>kWh/GJ</t>
  </si>
  <si>
    <t>kWh/kgH2</t>
  </si>
  <si>
    <t>kgH2/GJ</t>
  </si>
  <si>
    <t>kWh</t>
  </si>
  <si>
    <t>천원/ton</t>
  </si>
  <si>
    <t>천원/GJ</t>
  </si>
  <si>
    <t>천원/kWh</t>
  </si>
  <si>
    <t>hydrogentable_2020.xlsx</t>
  </si>
  <si>
    <t>H2P</t>
  </si>
  <si>
    <t>H2U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</si>
</sst>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"/>
  </numFmts>
  <fonts count="7" x14ac:knownFonts="1">
    <font>
      <sz val="12"/>
      <color theme="1"/>
      <name val="Aptos Narrow"/>
      <scheme val="minor"/>
    </font>
    <font>
      <sz val="12"/>
      <color theme="1"/>
      <name val="Aptos Narrow"/>
    </font>
    <font>
      <sz val="10"/>
      <color theme="1"/>
      <name val="Malgun Gothic"/>
      <family val="2"/>
      <charset val="129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theme="1"/>
      <name val="Aptos Narrow"/>
    </font>
    <font>
      <u/>
      <sz val="10"/>
      <color theme="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49" fontId="1" fillId="0" borderId="0" xfId="0" applyNumberFormat="1" applyFont="1"/>
    <xf numFmtId="43" fontId="1" fillId="0" borderId="0" xfId="0" applyNumberFormat="1" applyFont="1"/>
    <xf numFmtId="49" fontId="2" fillId="0" borderId="1" xfId="0" applyNumberFormat="1" applyFont="1" applyBorder="1"/>
    <xf numFmtId="0" fontId="3" fillId="0" borderId="0" xfId="0" applyFont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2" borderId="5" xfId="0" applyFont="1" applyFill="1" applyBorder="1"/>
    <xf numFmtId="0" fontId="1" fillId="0" borderId="6" xfId="0" applyFont="1" applyBorder="1"/>
    <xf numFmtId="0" fontId="1" fillId="0" borderId="7" xfId="0" applyFont="1" applyBorder="1"/>
    <xf numFmtId="0" fontId="3" fillId="2" borderId="8" xfId="0" applyFont="1" applyFill="1" applyBorder="1"/>
    <xf numFmtId="0" fontId="3" fillId="0" borderId="7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14" xfId="0" applyFont="1" applyBorder="1"/>
    <xf numFmtId="0" fontId="1" fillId="0" borderId="0" xfId="0" applyFont="1" applyAlignment="1">
      <alignment horizontal="center"/>
    </xf>
    <xf numFmtId="43" fontId="4" fillId="0" borderId="0" xfId="0" applyNumberFormat="1" applyFont="1"/>
    <xf numFmtId="43" fontId="3" fillId="0" borderId="0" xfId="0" applyNumberFormat="1" applyFont="1"/>
    <xf numFmtId="43" fontId="3" fillId="0" borderId="10" xfId="0" applyNumberFormat="1" applyFont="1" applyBorder="1"/>
    <xf numFmtId="43" fontId="3" fillId="0" borderId="11" xfId="0" applyNumberFormat="1" applyFont="1" applyBorder="1"/>
    <xf numFmtId="43" fontId="3" fillId="0" borderId="15" xfId="0" applyNumberFormat="1" applyFont="1" applyBorder="1"/>
    <xf numFmtId="43" fontId="3" fillId="0" borderId="16" xfId="0" applyNumberFormat="1" applyFont="1" applyBorder="1"/>
    <xf numFmtId="43" fontId="3" fillId="0" borderId="17" xfId="0" applyNumberFormat="1" applyFont="1" applyBorder="1"/>
    <xf numFmtId="4" fontId="4" fillId="0" borderId="0" xfId="0" applyNumberFormat="1" applyFont="1"/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right" wrapText="1"/>
    </xf>
    <xf numFmtId="0" fontId="4" fillId="0" borderId="0" xfId="0" applyFont="1" applyAlignment="1">
      <alignment horizontal="right" wrapTex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164" fontId="5" fillId="0" borderId="0" xfId="0" applyNumberFormat="1" applyFont="1" applyAlignment="1">
      <alignment horizontal="righ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4" Type="http://schemas.openxmlformats.org/officeDocument/2006/relationships/worksheet" Target="worksheets/sheet4.xml"/><Relationship Id="rId14" Type="http://customschemas.google.com/relationships/workbookmetadata" Target="metadata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0" i="0">
                <a:solidFill>
                  <a:srgbClr val="757575"/>
                </a:solidFill>
                <a:latin typeface="+mn-lt"/>
              </a:rPr>
              <a:t>Fuel consumption (Scenario 1)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Coal_total</c:v>
          </c:tx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'raw data1'!$A$6:$A$31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'raw data1'!$D$6:$D$31</c:f>
              <c:numCache>
                <c:formatCode>_(* #,##0.00_);_(* \(#,##0.00\);_(* "-"??_);_(@_)</c:formatCode>
                <c:ptCount val="26"/>
                <c:pt idx="0">
                  <c:v>703943327.58000004</c:v>
                </c:pt>
                <c:pt idx="1">
                  <c:v>656883644.26408517</c:v>
                </c:pt>
                <c:pt idx="2">
                  <c:v>618022149.33201659</c:v>
                </c:pt>
                <c:pt idx="3">
                  <c:v>618022149.33201659</c:v>
                </c:pt>
                <c:pt idx="4">
                  <c:v>602477549.78668845</c:v>
                </c:pt>
                <c:pt idx="5">
                  <c:v>470716096.14224458</c:v>
                </c:pt>
                <c:pt idx="6">
                  <c:v>470716096.14224452</c:v>
                </c:pt>
                <c:pt idx="7">
                  <c:v>470716096.14224452</c:v>
                </c:pt>
                <c:pt idx="8">
                  <c:v>397212779.46480536</c:v>
                </c:pt>
                <c:pt idx="9">
                  <c:v>397212779.46480536</c:v>
                </c:pt>
                <c:pt idx="10">
                  <c:v>304166351.35518748</c:v>
                </c:pt>
                <c:pt idx="11">
                  <c:v>243092507.5577203</c:v>
                </c:pt>
                <c:pt idx="12">
                  <c:v>189701399.37109521</c:v>
                </c:pt>
                <c:pt idx="13">
                  <c:v>189701399.37109521</c:v>
                </c:pt>
                <c:pt idx="14">
                  <c:v>189701399.37109521</c:v>
                </c:pt>
                <c:pt idx="15">
                  <c:v>142828978.20823699</c:v>
                </c:pt>
                <c:pt idx="16">
                  <c:v>142828978.20823699</c:v>
                </c:pt>
                <c:pt idx="17">
                  <c:v>91093407.449468255</c:v>
                </c:pt>
                <c:pt idx="18">
                  <c:v>91093407.44946824</c:v>
                </c:pt>
                <c:pt idx="19">
                  <c:v>41892874.176313333</c:v>
                </c:pt>
                <c:pt idx="20">
                  <c:v>41892874.176313333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9C-BB47-9512-31EB3925910F}"/>
            </c:ext>
          </c:extLst>
        </c:ser>
        <c:ser>
          <c:idx val="1"/>
          <c:order val="1"/>
          <c:tx>
            <c:v>Hydrogen H2</c:v>
          </c:tx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'raw data1'!$A$6:$A$31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'raw data1'!$E$6:$E$31</c:f>
              <c:numCache>
                <c:formatCode>_(* #,##0.00_);_(* \(#,##0.00\);_(* "-"??_);_(@_)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57598122.732788421</c:v>
                </c:pt>
                <c:pt idx="6">
                  <c:v>57598122.732788421</c:v>
                </c:pt>
                <c:pt idx="7">
                  <c:v>80627233.223800838</c:v>
                </c:pt>
                <c:pt idx="8">
                  <c:v>135410185.23304209</c:v>
                </c:pt>
                <c:pt idx="9">
                  <c:v>135410185.23304209</c:v>
                </c:pt>
                <c:pt idx="10">
                  <c:v>204758865.48552209</c:v>
                </c:pt>
                <c:pt idx="11">
                  <c:v>250277974.07839319</c:v>
                </c:pt>
                <c:pt idx="12">
                  <c:v>290071042.6054064</c:v>
                </c:pt>
                <c:pt idx="13">
                  <c:v>290071042.6054064</c:v>
                </c:pt>
                <c:pt idx="14">
                  <c:v>290071042.6054064</c:v>
                </c:pt>
                <c:pt idx="15">
                  <c:v>325005651.20804048</c:v>
                </c:pt>
                <c:pt idx="16">
                  <c:v>325005651.20804048</c:v>
                </c:pt>
                <c:pt idx="17">
                  <c:v>363564826.74138433</c:v>
                </c:pt>
                <c:pt idx="18">
                  <c:v>363564826.74138433</c:v>
                </c:pt>
                <c:pt idx="19">
                  <c:v>400234606.75907463</c:v>
                </c:pt>
                <c:pt idx="20">
                  <c:v>400234606.75907463</c:v>
                </c:pt>
                <c:pt idx="21">
                  <c:v>431457895.98290062</c:v>
                </c:pt>
                <c:pt idx="22">
                  <c:v>431457895.98290062</c:v>
                </c:pt>
                <c:pt idx="23">
                  <c:v>431457895.98290062</c:v>
                </c:pt>
                <c:pt idx="24">
                  <c:v>431457895.98290062</c:v>
                </c:pt>
                <c:pt idx="25">
                  <c:v>431457895.98290068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9C-BB47-9512-31EB3925910F}"/>
            </c:ext>
          </c:extLst>
        </c:ser>
        <c:ser>
          <c:idx val="2"/>
          <c:order val="2"/>
          <c:tx>
            <c:v>Electricity_H2</c:v>
          </c:tx>
          <c:spPr>
            <a:ln w="28575" cmpd="sng">
              <a:solidFill>
                <a:schemeClr val="accent3"/>
              </a:solidFill>
            </a:ln>
          </c:spPr>
          <c:marker>
            <c:symbol val="none"/>
          </c:marker>
          <c:cat>
            <c:numRef>
              <c:f>'raw data1'!$A$6:$A$31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'raw data1'!$F$6:$F$31</c:f>
              <c:numCache>
                <c:formatCode>_(* #,##0.00_);_(* \(#,##0.00\);_(* "-"??_);_(@_)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57598122.732788444</c:v>
                </c:pt>
                <c:pt idx="6">
                  <c:v>57598122.732788444</c:v>
                </c:pt>
                <c:pt idx="7">
                  <c:v>34554528.524486057</c:v>
                </c:pt>
                <c:pt idx="8">
                  <c:v>58032936.528446592</c:v>
                </c:pt>
                <c:pt idx="9">
                  <c:v>58032936.528446592</c:v>
                </c:pt>
                <c:pt idx="10">
                  <c:v>87753799.493795186</c:v>
                </c:pt>
                <c:pt idx="11">
                  <c:v>107261988.8907399</c:v>
                </c:pt>
                <c:pt idx="12">
                  <c:v>124316161.1166027</c:v>
                </c:pt>
                <c:pt idx="13">
                  <c:v>124316161.1166027</c:v>
                </c:pt>
                <c:pt idx="14">
                  <c:v>124316161.1166027</c:v>
                </c:pt>
                <c:pt idx="15">
                  <c:v>139288136.23201731</c:v>
                </c:pt>
                <c:pt idx="16">
                  <c:v>139288136.23201731</c:v>
                </c:pt>
                <c:pt idx="17">
                  <c:v>155813497.17487901</c:v>
                </c:pt>
                <c:pt idx="18">
                  <c:v>155813497.17487901</c:v>
                </c:pt>
                <c:pt idx="19">
                  <c:v>171529117.18246049</c:v>
                </c:pt>
                <c:pt idx="20">
                  <c:v>171529117.18246049</c:v>
                </c:pt>
                <c:pt idx="21">
                  <c:v>184910526.84981459</c:v>
                </c:pt>
                <c:pt idx="22">
                  <c:v>184910526.84981459</c:v>
                </c:pt>
                <c:pt idx="23">
                  <c:v>184910526.84981459</c:v>
                </c:pt>
                <c:pt idx="24">
                  <c:v>184910526.84981459</c:v>
                </c:pt>
                <c:pt idx="25">
                  <c:v>184910526.84981459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9C-BB47-9512-31EB3925910F}"/>
            </c:ext>
          </c:extLst>
        </c:ser>
        <c:ser>
          <c:idx val="3"/>
          <c:order val="3"/>
          <c:tx>
            <c:v>Electricity EAF</c:v>
          </c:tx>
          <c:spPr>
            <a:ln w="28575" cmpd="sng">
              <a:solidFill>
                <a:schemeClr val="accent4"/>
              </a:solidFill>
            </a:ln>
          </c:spPr>
          <c:marker>
            <c:symbol val="none"/>
          </c:marker>
          <c:cat>
            <c:numRef>
              <c:f>'raw data1'!$A$6:$A$31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'raw data1'!$G$6:$G$31</c:f>
              <c:numCache>
                <c:formatCode>#,##0.00</c:formatCode>
                <c:ptCount val="26"/>
                <c:pt idx="0">
                  <c:v>0</c:v>
                </c:pt>
                <c:pt idx="1">
                  <c:v>15000000</c:v>
                </c:pt>
                <c:pt idx="2">
                  <c:v>30000000</c:v>
                </c:pt>
                <c:pt idx="3">
                  <c:v>30000000</c:v>
                </c:pt>
                <c:pt idx="4">
                  <c:v>36000000</c:v>
                </c:pt>
                <c:pt idx="5">
                  <c:v>36000000</c:v>
                </c:pt>
                <c:pt idx="6">
                  <c:v>36000000</c:v>
                </c:pt>
                <c:pt idx="7">
                  <c:v>36000000</c:v>
                </c:pt>
                <c:pt idx="8">
                  <c:v>36000000</c:v>
                </c:pt>
                <c:pt idx="9">
                  <c:v>36000000</c:v>
                </c:pt>
                <c:pt idx="10">
                  <c:v>36000000</c:v>
                </c:pt>
                <c:pt idx="11">
                  <c:v>36000000</c:v>
                </c:pt>
                <c:pt idx="12">
                  <c:v>36000000</c:v>
                </c:pt>
                <c:pt idx="13">
                  <c:v>36000000</c:v>
                </c:pt>
                <c:pt idx="14">
                  <c:v>36000000</c:v>
                </c:pt>
                <c:pt idx="15">
                  <c:v>36000000</c:v>
                </c:pt>
                <c:pt idx="16">
                  <c:v>36000000</c:v>
                </c:pt>
                <c:pt idx="17">
                  <c:v>36000000</c:v>
                </c:pt>
                <c:pt idx="18">
                  <c:v>36000000</c:v>
                </c:pt>
                <c:pt idx="19">
                  <c:v>36000000</c:v>
                </c:pt>
                <c:pt idx="20">
                  <c:v>36000000</c:v>
                </c:pt>
                <c:pt idx="21">
                  <c:v>36000000</c:v>
                </c:pt>
                <c:pt idx="22">
                  <c:v>36000000</c:v>
                </c:pt>
                <c:pt idx="23">
                  <c:v>36000000</c:v>
                </c:pt>
                <c:pt idx="24">
                  <c:v>36000000</c:v>
                </c:pt>
                <c:pt idx="25">
                  <c:v>36000000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69C-BB47-9512-31EB392591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1557709"/>
        <c:axId val="1636784036"/>
      </c:lineChart>
      <c:catAx>
        <c:axId val="6315577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36784036"/>
        <c:crosses val="autoZero"/>
        <c:auto val="1"/>
        <c:lblAlgn val="ctr"/>
        <c:lblOffset val="100"/>
        <c:noMultiLvlLbl val="1"/>
      </c:catAx>
      <c:valAx>
        <c:axId val="16367840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_(* #,##0.00_);_(* \(#,##0.00\);_(* &quot;-&quot;??_);_(@_)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31557709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0" i="0">
                <a:solidFill>
                  <a:srgbClr val="757575"/>
                </a:solidFill>
                <a:latin typeface="+mn-lt"/>
              </a:rPr>
              <a:t>Fuel consumption(Scenario 2)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Coal_total</c:v>
          </c:tx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'raw data2'!$A$6:$A$31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'raw data2'!$D$6:$D$31</c:f>
              <c:numCache>
                <c:formatCode>_(* #,##0.00_);_(* \(#,##0.00\);_(* "-"??_);_(@_)</c:formatCode>
                <c:ptCount val="26"/>
                <c:pt idx="0">
                  <c:v>610128225</c:v>
                </c:pt>
                <c:pt idx="1">
                  <c:v>563042809</c:v>
                </c:pt>
                <c:pt idx="2">
                  <c:v>559511403</c:v>
                </c:pt>
                <c:pt idx="3">
                  <c:v>555979997</c:v>
                </c:pt>
                <c:pt idx="4">
                  <c:v>552448591</c:v>
                </c:pt>
                <c:pt idx="5">
                  <c:v>548917185</c:v>
                </c:pt>
                <c:pt idx="6">
                  <c:v>537616685</c:v>
                </c:pt>
                <c:pt idx="7">
                  <c:v>526316185</c:v>
                </c:pt>
                <c:pt idx="8">
                  <c:v>493827248</c:v>
                </c:pt>
                <c:pt idx="9">
                  <c:v>461338311</c:v>
                </c:pt>
                <c:pt idx="10">
                  <c:v>421786561</c:v>
                </c:pt>
                <c:pt idx="11">
                  <c:v>351158437</c:v>
                </c:pt>
                <c:pt idx="12">
                  <c:v>351158437</c:v>
                </c:pt>
                <c:pt idx="13">
                  <c:v>344095625</c:v>
                </c:pt>
                <c:pt idx="14">
                  <c:v>344095625</c:v>
                </c:pt>
                <c:pt idx="15">
                  <c:v>351158437</c:v>
                </c:pt>
                <c:pt idx="16">
                  <c:v>344095625</c:v>
                </c:pt>
                <c:pt idx="17">
                  <c:v>337032813</c:v>
                </c:pt>
                <c:pt idx="18">
                  <c:v>306427292</c:v>
                </c:pt>
                <c:pt idx="19">
                  <c:v>275821772</c:v>
                </c:pt>
                <c:pt idx="20">
                  <c:v>245216251</c:v>
                </c:pt>
                <c:pt idx="21">
                  <c:v>238153439</c:v>
                </c:pt>
                <c:pt idx="22">
                  <c:v>231090627</c:v>
                </c:pt>
                <c:pt idx="23">
                  <c:v>195776565</c:v>
                </c:pt>
                <c:pt idx="24">
                  <c:v>160462503</c:v>
                </c:pt>
                <c:pt idx="25">
                  <c:v>139274065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95-3B48-A35F-F3D643F152CF}"/>
            </c:ext>
          </c:extLst>
        </c:ser>
        <c:ser>
          <c:idx val="1"/>
          <c:order val="1"/>
          <c:tx>
            <c:v>Hydrogen H2</c:v>
          </c:tx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'raw data2'!$A$6:$A$31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'raw data2'!$E$6:$E$31</c:f>
              <c:numCache>
                <c:formatCode>_(* #,##0.00_);_(* \(#,##0.00\);_(* "-"??_);_(@_)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14944696</c:v>
                </c:pt>
                <c:pt idx="9">
                  <c:v>29889392</c:v>
                </c:pt>
                <c:pt idx="10">
                  <c:v>49815654</c:v>
                </c:pt>
                <c:pt idx="11">
                  <c:v>74723481</c:v>
                </c:pt>
                <c:pt idx="12">
                  <c:v>99631308</c:v>
                </c:pt>
                <c:pt idx="13">
                  <c:v>124539135</c:v>
                </c:pt>
                <c:pt idx="14">
                  <c:v>149446962</c:v>
                </c:pt>
                <c:pt idx="15">
                  <c:v>149446962</c:v>
                </c:pt>
                <c:pt idx="16">
                  <c:v>161900876</c:v>
                </c:pt>
                <c:pt idx="17">
                  <c:v>174354789</c:v>
                </c:pt>
                <c:pt idx="18">
                  <c:v>186808703</c:v>
                </c:pt>
                <c:pt idx="19">
                  <c:v>199262616</c:v>
                </c:pt>
                <c:pt idx="20">
                  <c:v>199262616</c:v>
                </c:pt>
                <c:pt idx="21">
                  <c:v>199262616</c:v>
                </c:pt>
                <c:pt idx="22">
                  <c:v>199262616</c:v>
                </c:pt>
                <c:pt idx="23">
                  <c:v>219188878</c:v>
                </c:pt>
                <c:pt idx="24">
                  <c:v>239115139</c:v>
                </c:pt>
                <c:pt idx="25">
                  <c:v>249078270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95-3B48-A35F-F3D643F152CF}"/>
            </c:ext>
          </c:extLst>
        </c:ser>
        <c:ser>
          <c:idx val="2"/>
          <c:order val="2"/>
          <c:tx>
            <c:v>Electricity_H2</c:v>
          </c:tx>
          <c:spPr>
            <a:ln w="28575" cmpd="sng">
              <a:solidFill>
                <a:schemeClr val="accent3"/>
              </a:solidFill>
            </a:ln>
          </c:spPr>
          <c:marker>
            <c:symbol val="none"/>
          </c:marker>
          <c:cat>
            <c:numRef>
              <c:f>'raw data2'!$A$6:$A$31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'raw data2'!$F$6:$F$31</c:f>
              <c:numCache>
                <c:formatCode>_(* #,##0.00_);_(* \(#,##0.00\);_(* "-"??_);_(@_)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6404870</c:v>
                </c:pt>
                <c:pt idx="9">
                  <c:v>12809740</c:v>
                </c:pt>
                <c:pt idx="10">
                  <c:v>21349566</c:v>
                </c:pt>
                <c:pt idx="11">
                  <c:v>32024349</c:v>
                </c:pt>
                <c:pt idx="12">
                  <c:v>42699132</c:v>
                </c:pt>
                <c:pt idx="13">
                  <c:v>53373915</c:v>
                </c:pt>
                <c:pt idx="14">
                  <c:v>64048698</c:v>
                </c:pt>
                <c:pt idx="15">
                  <c:v>64048698</c:v>
                </c:pt>
                <c:pt idx="16">
                  <c:v>69386090</c:v>
                </c:pt>
                <c:pt idx="17">
                  <c:v>74723481</c:v>
                </c:pt>
                <c:pt idx="18">
                  <c:v>80060873</c:v>
                </c:pt>
                <c:pt idx="19">
                  <c:v>85398264</c:v>
                </c:pt>
                <c:pt idx="20">
                  <c:v>85398264</c:v>
                </c:pt>
                <c:pt idx="21">
                  <c:v>85398264</c:v>
                </c:pt>
                <c:pt idx="22">
                  <c:v>85398264</c:v>
                </c:pt>
                <c:pt idx="23">
                  <c:v>93938090</c:v>
                </c:pt>
                <c:pt idx="24">
                  <c:v>102477917</c:v>
                </c:pt>
                <c:pt idx="25">
                  <c:v>106747830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95-3B48-A35F-F3D643F152CF}"/>
            </c:ext>
          </c:extLst>
        </c:ser>
        <c:ser>
          <c:idx val="3"/>
          <c:order val="3"/>
          <c:tx>
            <c:v>Electricity EAF</c:v>
          </c:tx>
          <c:spPr>
            <a:ln w="28575" cmpd="sng">
              <a:solidFill>
                <a:schemeClr val="accent4"/>
              </a:solidFill>
            </a:ln>
          </c:spPr>
          <c:marker>
            <c:symbol val="none"/>
          </c:marker>
          <c:cat>
            <c:numRef>
              <c:f>'raw data2'!$A$6:$A$31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'raw data2'!$G$6:$G$31</c:f>
              <c:numCache>
                <c:formatCode>_(* #,##0.00_);_(* \(#,##0.00\);_(* "-"??_);_(@_)</c:formatCode>
                <c:ptCount val="26"/>
                <c:pt idx="0">
                  <c:v>35806400</c:v>
                </c:pt>
                <c:pt idx="1">
                  <c:v>53709600</c:v>
                </c:pt>
                <c:pt idx="2">
                  <c:v>55052340</c:v>
                </c:pt>
                <c:pt idx="3">
                  <c:v>56395080</c:v>
                </c:pt>
                <c:pt idx="4">
                  <c:v>57737820</c:v>
                </c:pt>
                <c:pt idx="5">
                  <c:v>59080560</c:v>
                </c:pt>
                <c:pt idx="6">
                  <c:v>63377328</c:v>
                </c:pt>
                <c:pt idx="7">
                  <c:v>67674096</c:v>
                </c:pt>
                <c:pt idx="8">
                  <c:v>71970864</c:v>
                </c:pt>
                <c:pt idx="9">
                  <c:v>76267632</c:v>
                </c:pt>
                <c:pt idx="10">
                  <c:v>80564400</c:v>
                </c:pt>
                <c:pt idx="11">
                  <c:v>93991800</c:v>
                </c:pt>
                <c:pt idx="12">
                  <c:v>80564400</c:v>
                </c:pt>
                <c:pt idx="13">
                  <c:v>69822480</c:v>
                </c:pt>
                <c:pt idx="14">
                  <c:v>56395080</c:v>
                </c:pt>
                <c:pt idx="15">
                  <c:v>53709600</c:v>
                </c:pt>
                <c:pt idx="16">
                  <c:v>49681380</c:v>
                </c:pt>
                <c:pt idx="17">
                  <c:v>45653160</c:v>
                </c:pt>
                <c:pt idx="18">
                  <c:v>50576540</c:v>
                </c:pt>
                <c:pt idx="19">
                  <c:v>55499920</c:v>
                </c:pt>
                <c:pt idx="20">
                  <c:v>67137000</c:v>
                </c:pt>
                <c:pt idx="21">
                  <c:v>69822480</c:v>
                </c:pt>
                <c:pt idx="22">
                  <c:v>72507960</c:v>
                </c:pt>
                <c:pt idx="23">
                  <c:v>75193440</c:v>
                </c:pt>
                <c:pt idx="24">
                  <c:v>77878920</c:v>
                </c:pt>
                <c:pt idx="25">
                  <c:v>80564400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495-3B48-A35F-F3D643F152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3206156"/>
        <c:axId val="495114888"/>
      </c:lineChart>
      <c:catAx>
        <c:axId val="21332061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95114888"/>
        <c:crosses val="autoZero"/>
        <c:auto val="1"/>
        <c:lblAlgn val="ctr"/>
        <c:lblOffset val="100"/>
        <c:noMultiLvlLbl val="1"/>
      </c:catAx>
      <c:valAx>
        <c:axId val="4951148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_(* #,##0.00_);_(* \(#,##0.00\);_(* &quot;-&quot;??_);_(@_)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33206156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1028700</xdr:colOff>
      <xdr:row>31</xdr:row>
      <xdr:rowOff>85725</xdr:rowOff>
    </xdr:from>
    <xdr:ext cx="5257800" cy="2695575"/>
    <xdr:graphicFrame macro="">
      <xdr:nvGraphicFramePr>
        <xdr:cNvPr id="1460477715" name="Chart 1">
          <a:extLst>
            <a:ext uri="{FF2B5EF4-FFF2-40B4-BE49-F238E27FC236}">
              <a16:creationId xmlns:a16="http://schemas.microsoft.com/office/drawing/2014/main" id="{00000000-0008-0000-0400-0000131F0D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781050</xdr:colOff>
      <xdr:row>32</xdr:row>
      <xdr:rowOff>57150</xdr:rowOff>
    </xdr:from>
    <xdr:ext cx="5238750" cy="2838450"/>
    <xdr:graphicFrame macro="">
      <xdr:nvGraphicFramePr>
        <xdr:cNvPr id="706276549" name="Chart 3">
          <a:extLst>
            <a:ext uri="{FF2B5EF4-FFF2-40B4-BE49-F238E27FC236}">
              <a16:creationId xmlns:a16="http://schemas.microsoft.com/office/drawing/2014/main" id="{00000000-0008-0000-0600-0000C5EC18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nergy.gov/eere/fuelcells/hydrogen-stora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opLeftCell="N1" workbookViewId="0">
      <selection activeCell="AA8" sqref="AA8"/>
    </sheetView>
  </sheetViews>
  <sheetFormatPr baseColWidth="10" defaultColWidth="11.1640625" defaultRowHeight="15" customHeight="1" x14ac:dyDescent="0.2"/>
  <cols>
    <col min="1" max="2" width="10.5" customWidth="1"/>
    <col min="3" max="27" width="14" customWidth="1"/>
  </cols>
  <sheetData>
    <row r="1" spans="1:27" ht="15.75" customHeight="1" x14ac:dyDescent="0.2">
      <c r="A1" s="1" t="s">
        <v>0</v>
      </c>
      <c r="B1" s="1" t="s">
        <v>1</v>
      </c>
      <c r="C1" s="1">
        <v>2026</v>
      </c>
      <c r="D1" s="1">
        <v>2027</v>
      </c>
      <c r="E1" s="1">
        <v>2028</v>
      </c>
      <c r="F1" s="1">
        <v>2029</v>
      </c>
      <c r="G1" s="1">
        <v>2030</v>
      </c>
      <c r="H1" s="1">
        <v>2031</v>
      </c>
      <c r="I1" s="1">
        <v>2032</v>
      </c>
      <c r="J1" s="1">
        <v>2033</v>
      </c>
      <c r="K1" s="1">
        <v>2034</v>
      </c>
      <c r="L1" s="1">
        <v>2035</v>
      </c>
      <c r="M1" s="1">
        <v>2036</v>
      </c>
      <c r="N1" s="1">
        <v>2037</v>
      </c>
      <c r="O1" s="1">
        <v>2038</v>
      </c>
      <c r="P1" s="1">
        <v>2039</v>
      </c>
      <c r="Q1" s="1">
        <v>2040</v>
      </c>
      <c r="R1" s="1">
        <v>2041</v>
      </c>
      <c r="S1" s="1">
        <v>2042</v>
      </c>
      <c r="T1" s="1">
        <v>2043</v>
      </c>
      <c r="U1" s="1">
        <v>2044</v>
      </c>
      <c r="V1" s="1">
        <v>2045</v>
      </c>
      <c r="W1" s="1">
        <v>2046</v>
      </c>
      <c r="X1" s="1">
        <v>2047</v>
      </c>
      <c r="Y1" s="1">
        <v>2048</v>
      </c>
      <c r="Z1" s="1">
        <v>2049</v>
      </c>
      <c r="AA1" s="1">
        <v>2050</v>
      </c>
    </row>
    <row r="2" spans="1:27" ht="15.75" customHeight="1" x14ac:dyDescent="0.2">
      <c r="A2" s="1" t="s">
        <v>2</v>
      </c>
      <c r="B2" s="2" t="s">
        <v>3</v>
      </c>
      <c r="C2" s="3">
        <f>'raw data1'!M7</f>
        <v>-660838.10613837908</v>
      </c>
      <c r="D2" s="3">
        <f>'raw data1'!M8</f>
        <v>-1206552.7158227465</v>
      </c>
      <c r="E2" s="3">
        <f>'raw data1'!M9</f>
        <v>-1206552.7158227465</v>
      </c>
      <c r="F2" s="3">
        <f>'raw data1'!M10</f>
        <v>-1424838.5817784183</v>
      </c>
      <c r="G2" s="3">
        <f>'raw data1'!M11</f>
        <v>-3275105.8031684812</v>
      </c>
      <c r="H2" s="3">
        <f>'raw data1'!M12</f>
        <v>-3275105.8031684812</v>
      </c>
      <c r="I2" s="3">
        <f>'raw data1'!M13</f>
        <v>-3275105.8031684812</v>
      </c>
      <c r="J2" s="3">
        <f>'raw data1'!M14</f>
        <v>-4307280.0373623073</v>
      </c>
      <c r="K2" s="3">
        <f>'raw data1'!M15</f>
        <v>-4307280.0373623073</v>
      </c>
      <c r="L2" s="3">
        <f>'raw data1'!M16</f>
        <v>-5613889.4533697078</v>
      </c>
      <c r="M2" s="3">
        <f>'raw data1'!M17</f>
        <v>-6471522.1535043539</v>
      </c>
      <c r="N2" s="3">
        <f>'raw data1'!M18</f>
        <v>-7221269.6301675998</v>
      </c>
      <c r="O2" s="3">
        <f>'raw data1'!M19</f>
        <v>-7221269.6301675998</v>
      </c>
      <c r="P2" s="3">
        <f>'raw data1'!M20</f>
        <v>-7221269.6301675998</v>
      </c>
      <c r="Q2" s="3">
        <f>'raw data1'!M21</f>
        <v>-7879478.0975609282</v>
      </c>
      <c r="R2" s="3">
        <f>'raw data1'!M22</f>
        <v>-7879478.0975609282</v>
      </c>
      <c r="S2" s="3">
        <f>'raw data1'!M23</f>
        <v>-8605977.6018330008</v>
      </c>
      <c r="T2" s="3">
        <f>'raw data1'!M24</f>
        <v>-8605977.6018330008</v>
      </c>
      <c r="U2" s="3">
        <f>'raw data1'!M25</f>
        <v>-9296878.7073709201</v>
      </c>
      <c r="V2" s="3">
        <f>'raw data1'!M26</f>
        <v>-9296878.7073709201</v>
      </c>
      <c r="W2" s="3">
        <f>'raw data1'!M27</f>
        <v>-9885161.6213361677</v>
      </c>
      <c r="X2" s="3">
        <f>'raw data1'!M28</f>
        <v>-9885161.6213361677</v>
      </c>
      <c r="Y2" s="3">
        <f>'raw data1'!M29</f>
        <v>-9885161.6213361677</v>
      </c>
      <c r="Z2" s="3">
        <f>'raw data1'!M30</f>
        <v>-9885161.6213361677</v>
      </c>
      <c r="AA2" s="3">
        <f>'raw data1'!M31</f>
        <v>-9885161.6213361677</v>
      </c>
    </row>
    <row r="3" spans="1:27" ht="15.75" customHeight="1" x14ac:dyDescent="0.2">
      <c r="A3" s="1" t="s">
        <v>2</v>
      </c>
      <c r="B3" s="2" t="s">
        <v>4</v>
      </c>
      <c r="C3" s="3">
        <f>VLOOKUP(C1,'raw data1'!$A$6:$R$31,18)</f>
        <v>2529788.1933461181</v>
      </c>
      <c r="D3" s="3">
        <f>VLOOKUP(D1,'raw data1'!$A$6:$R$31,18)</f>
        <v>4029587.5864846222</v>
      </c>
      <c r="E3" s="3">
        <f>VLOOKUP(E1,'raw data1'!$A$6:$R$31,18)</f>
        <v>4253453.5635115458</v>
      </c>
      <c r="F3" s="3">
        <f>VLOOKUP(F1,'raw data1'!$A$6:$R$31,18)</f>
        <v>5142933.9922183435</v>
      </c>
      <c r="G3" s="3">
        <f>VLOOKUP(G1,'raw data1'!$A$6:$R$31,18)</f>
        <v>16528453.614901222</v>
      </c>
      <c r="H3" s="3">
        <f>VLOOKUP(H1,'raw data1'!$A$6:$R$31,18)</f>
        <v>16528453.614901222</v>
      </c>
      <c r="I3" s="3">
        <f>VLOOKUP(I1,'raw data1'!$A$6:$R$31,18)</f>
        <v>18018107.885961488</v>
      </c>
      <c r="J3" s="3">
        <f>VLOOKUP(J1,'raw data1'!$A$6:$R$31,18)</f>
        <v>27615663.103755601</v>
      </c>
      <c r="K3" s="3">
        <f>VLOOKUP(K1,'raw data1'!$A$6:$R$31,18)</f>
        <v>28816344.108266711</v>
      </c>
      <c r="L3" s="3">
        <f>VLOOKUP(L1,'raw data1'!$A$6:$R$31,18)</f>
        <v>40857599.367980525</v>
      </c>
      <c r="M3" s="3">
        <f>VLOOKUP(M1,'raw data1'!$A$6:$R$31,18)</f>
        <v>48787647.130520463</v>
      </c>
      <c r="N3" s="3">
        <f>VLOOKUP(N1,'raw data1'!$A$6:$R$31,18)</f>
        <v>55718086.126595974</v>
      </c>
      <c r="O3" s="3">
        <f>VLOOKUP(O1,'raw data1'!$A$6:$R$31,18)</f>
        <v>55718086.126595974</v>
      </c>
      <c r="P3" s="3">
        <f>VLOOKUP(P1,'raw data1'!$A$6:$R$31,18)</f>
        <v>55718086.126595974</v>
      </c>
      <c r="Q3" s="3">
        <f>VLOOKUP(Q1,'raw data1'!$A$6:$R$31,18)</f>
        <v>61803229.557679728</v>
      </c>
      <c r="R3" s="3">
        <f>VLOOKUP(R1,'raw data1'!$A$6:$R$31,18)</f>
        <v>61803229.557679728</v>
      </c>
      <c r="S3" s="3">
        <f>VLOOKUP(S1,'raw data1'!$A$6:$R$31,18)</f>
        <v>68520264.412113696</v>
      </c>
      <c r="T3" s="3">
        <f>VLOOKUP(T1,'raw data1'!$A$6:$R$31,18)</f>
        <v>68520264.412113696</v>
      </c>
      <c r="U3" s="3">
        <f>VLOOKUP(U1,'raw data1'!$A$6:$R$31,18)</f>
        <v>74908016.63464345</v>
      </c>
      <c r="V3" s="3">
        <f>VLOOKUP(V1,'raw data1'!$A$6:$R$31,18)</f>
        <v>74908016.63464345</v>
      </c>
      <c r="W3" s="3">
        <f>VLOOKUP(W1,'raw data1'!$A$6:$R$31,18)</f>
        <v>80347643.798388511</v>
      </c>
      <c r="X3" s="3">
        <f>VLOOKUP(X1,'raw data1'!$A$6:$R$31,18)</f>
        <v>80347643.798388511</v>
      </c>
      <c r="Y3" s="3">
        <f>VLOOKUP(Y1,'raw data1'!$A$6:$R$31,18)</f>
        <v>80347643.798388511</v>
      </c>
      <c r="Z3" s="3">
        <f>VLOOKUP(Z1,'raw data1'!$A$6:$R$31,18)</f>
        <v>80347643.798388511</v>
      </c>
      <c r="AA3" s="3">
        <f>VLOOKUP(AA1,'raw data1'!$A$6:$R$31,18)</f>
        <v>80347643.798388511</v>
      </c>
    </row>
    <row r="4" spans="1:27" ht="15.75" customHeight="1" x14ac:dyDescent="0.2">
      <c r="A4" s="1" t="s">
        <v>5</v>
      </c>
      <c r="B4" s="4" t="s">
        <v>6</v>
      </c>
      <c r="C4" s="3">
        <f>(VLOOKUP(C1,'raw data1'!$A$6:$N$31,14))*HLOOKUP(C1,h2portion!$C$1:$AB$5,3)/HLOOKUP(C1,h2portion!$C$1:$AB$5,2)</f>
        <v>0</v>
      </c>
      <c r="D4" s="3">
        <f>(VLOOKUP(D1,'raw data1'!$A$6:$N$31,14))*HLOOKUP(D1,h2portion!$C$1:$AB$5,3)/HLOOKUP(D1,h2portion!$C$1:$AB$5,2)</f>
        <v>0</v>
      </c>
      <c r="E4" s="3">
        <f>(VLOOKUP(E1,'raw data1'!$A$6:$N$31,14))*HLOOKUP(E1,h2portion!$C$1:$AB$5,3)/HLOOKUP(E1,h2portion!$C$1:$AB$5,2)</f>
        <v>0</v>
      </c>
      <c r="F4" s="3">
        <f>(VLOOKUP(F1,'raw data1'!$A$6:$N$31,14))*HLOOKUP(F1,h2portion!$C$1:$AB$5,3)/HLOOKUP(F1,h2portion!$C$1:$AB$5,2)</f>
        <v>0</v>
      </c>
      <c r="G4" s="3">
        <f>(VLOOKUP(G1,'raw data1'!$A$6:$N$31,14))*HLOOKUP(G1,h2portion!$C$1:$AB$5,3)/HLOOKUP(G1,h2portion!$C$1:$AB$5,2)</f>
        <v>1517752.7613716819</v>
      </c>
      <c r="H4" s="3">
        <f>(VLOOKUP(H1,'raw data1'!$A$6:$N$31,14))*HLOOKUP(H1,h2portion!$C$1:$AB$5,3)/HLOOKUP(H1,h2portion!$C$1:$AB$5,2)</f>
        <v>1191235.1153780667</v>
      </c>
      <c r="I4" s="3">
        <f>(VLOOKUP(I1,'raw data1'!$A$6:$N$31,14))*HLOOKUP(I1,h2portion!$C$1:$AB$5,3)/HLOOKUP(I1,h2portion!$C$1:$AB$5,2)</f>
        <v>1618921.7613047776</v>
      </c>
      <c r="J4" s="3">
        <f>(VLOOKUP(J1,'raw data1'!$A$6:$N$31,14))*HLOOKUP(J1,h2portion!$C$1:$AB$5,3)/HLOOKUP(J1,h2portion!$C$1:$AB$5,2)</f>
        <v>2655807.1561525469</v>
      </c>
      <c r="K4" s="3">
        <f>(VLOOKUP(K1,'raw data1'!$A$6:$N$31,14))*HLOOKUP(K1,h2portion!$C$1:$AB$5,3)/HLOOKUP(K1,h2portion!$C$1:$AB$5,2)</f>
        <v>2639820.144398876</v>
      </c>
      <c r="L4" s="3">
        <f>(VLOOKUP(L1,'raw data1'!$A$6:$N$31,14))*HLOOKUP(L1,h2portion!$C$1:$AB$5,3)/HLOOKUP(L1,h2portion!$C$1:$AB$5,2)</f>
        <v>3941302.572784279</v>
      </c>
      <c r="M4" s="3">
        <f>(VLOOKUP(M1,'raw data1'!$A$6:$N$31,14))*HLOOKUP(M1,h2portion!$C$1:$AB$5,3)/HLOOKUP(M1,h2portion!$C$1:$AB$5,2)</f>
        <v>4752159.2680624407</v>
      </c>
      <c r="N4" s="3">
        <f>(VLOOKUP(N1,'raw data1'!$A$6:$N$31,14))*HLOOKUP(N1,h2portion!$C$1:$AB$5,3)/HLOOKUP(N1,h2portion!$C$1:$AB$5,2)</f>
        <v>5157451.7191206571</v>
      </c>
      <c r="O4" s="3">
        <f>(VLOOKUP(O1,'raw data1'!$A$6:$N$31,14))*HLOOKUP(O1,h2portion!$C$1:$AB$5,3)/HLOOKUP(O1,h2portion!$C$1:$AB$5,2)</f>
        <v>4934547.4144848101</v>
      </c>
      <c r="P4" s="3">
        <f>(VLOOKUP(P1,'raw data1'!$A$6:$N$31,14))*HLOOKUP(P1,h2portion!$C$1:$AB$5,3)/HLOOKUP(P1,h2portion!$C$1:$AB$5,2)</f>
        <v>4721856.5950946612</v>
      </c>
      <c r="Q4" s="3">
        <f>(VLOOKUP(Q1,'raw data1'!$A$6:$N$31,14))*HLOOKUP(Q1,h2portion!$C$1:$AB$5,3)/HLOOKUP(Q1,h2portion!$C$1:$AB$5,2)</f>
        <v>5063669.1845153505</v>
      </c>
      <c r="R4" s="3">
        <f>(VLOOKUP(R1,'raw data1'!$A$6:$N$31,14))*HLOOKUP(R1,h2portion!$C$1:$AB$5,3)/HLOOKUP(R1,h2portion!$C$1:$AB$5,2)</f>
        <v>4476331.1327334335</v>
      </c>
      <c r="S4" s="3">
        <f>(VLOOKUP(S1,'raw data1'!$A$6:$N$31,14))*HLOOKUP(S1,h2portion!$C$1:$AB$5,3)/HLOOKUP(S1,h2portion!$C$1:$AB$5,2)</f>
        <v>4793899.8936988441</v>
      </c>
      <c r="T4" s="3">
        <f>(VLOOKUP(T1,'raw data1'!$A$6:$N$31,14))*HLOOKUP(T1,h2portion!$C$1:$AB$5,3)/HLOOKUP(T1,h2portion!$C$1:$AB$5,2)</f>
        <v>4590125.846853625</v>
      </c>
      <c r="U4" s="3">
        <f>(VLOOKUP(U1,'raw data1'!$A$6:$N$31,14))*HLOOKUP(U1,h2portion!$C$1:$AB$5,3)/HLOOKUP(U1,h2portion!$C$1:$AB$5,2)</f>
        <v>4838720.5388868488</v>
      </c>
      <c r="V4" s="3">
        <f>(VLOOKUP(V1,'raw data1'!$A$6:$N$31,14))*HLOOKUP(V1,h2portion!$C$1:$AB$5,3)/HLOOKUP(V1,h2portion!$C$1:$AB$5,2)</f>
        <v>4634299.9214636618</v>
      </c>
      <c r="W4" s="3">
        <f>(VLOOKUP(W1,'raw data1'!$A$6:$N$31,14))*HLOOKUP(W1,h2portion!$C$1:$AB$5,3)/HLOOKUP(W1,h2portion!$C$1:$AB$5,2)</f>
        <v>4785369.2975770747</v>
      </c>
      <c r="X4" s="3">
        <f>(VLOOKUP(X1,'raw data1'!$A$6:$N$31,14))*HLOOKUP(X1,h2portion!$C$1:$AB$5,3)/HLOOKUP(X1,h2portion!$C$1:$AB$5,2)</f>
        <v>4583158.6540500242</v>
      </c>
      <c r="Y4" s="3">
        <f>(VLOOKUP(Y1,'raw data1'!$A$6:$N$31,14))*HLOOKUP(Y1,h2portion!$C$1:$AB$5,3)/HLOOKUP(Y1,h2portion!$C$1:$AB$5,2)</f>
        <v>4390027.1710592611</v>
      </c>
      <c r="Z4" s="3">
        <f>(VLOOKUP(Z1,'raw data1'!$A$6:$N$31,14))*HLOOKUP(Z1,h2portion!$C$1:$AB$5,3)/HLOOKUP(Z1,h2portion!$C$1:$AB$5,2)</f>
        <v>4205148.8401083043</v>
      </c>
      <c r="AA4" s="3">
        <f>(VLOOKUP(AA1,'raw data1'!$A$6:$N$31,14))*HLOOKUP(AA1,h2portion!$C$1:$AB$5,3)/HLOOKUP(AA1,h2portion!$C$1:$AB$5,2)</f>
        <v>4028524.6516150129</v>
      </c>
    </row>
    <row r="5" spans="1:27" ht="15.75" customHeight="1" x14ac:dyDescent="0.2">
      <c r="A5" s="1" t="s">
        <v>5</v>
      </c>
      <c r="B5" s="4" t="s">
        <v>7</v>
      </c>
      <c r="C5" s="3">
        <f>(VLOOKUP(C1,'raw data1'!$A$6:$N$31,14))*HLOOKUP(C1,h2portion!$C$1:$AB$5,4)/HLOOKUP(C1,h2portion!$C$1:$AB$5,2)</f>
        <v>0</v>
      </c>
      <c r="D5" s="3">
        <f>(VLOOKUP(D1,'raw data1'!$A$6:$N$31,14))*HLOOKUP(D1,h2portion!$C$1:$AB$5,4)/HLOOKUP(D1,h2portion!$C$1:$AB$5,2)</f>
        <v>0</v>
      </c>
      <c r="E5" s="3">
        <f>(VLOOKUP(E1,'raw data1'!$A$6:$N$31,14))*HLOOKUP(E1,h2portion!$C$1:$AB$5,4)/HLOOKUP(E1,h2portion!$C$1:$AB$5,2)</f>
        <v>0</v>
      </c>
      <c r="F5" s="3">
        <f>(VLOOKUP(F1,'raw data1'!$A$6:$N$31,14))*HLOOKUP(F1,h2portion!$C$1:$AB$5,4)/HLOOKUP(F1,h2portion!$C$1:$AB$5,2)</f>
        <v>0</v>
      </c>
      <c r="G5" s="3">
        <f>(VLOOKUP(G1,'raw data1'!$A$6:$N$31,14))*HLOOKUP(G1,h2portion!$C$1:$AB$5,4)/HLOOKUP(G1,h2portion!$C$1:$AB$5,2)</f>
        <v>1634502.9737848884</v>
      </c>
      <c r="H5" s="3">
        <f>(VLOOKUP(H1,'raw data1'!$A$6:$N$31,14))*HLOOKUP(H1,h2portion!$C$1:$AB$5,4)/HLOOKUP(H1,h2portion!$C$1:$AB$5,2)</f>
        <v>1509821.2508861544</v>
      </c>
      <c r="I5" s="3">
        <f>(VLOOKUP(I1,'raw data1'!$A$6:$N$31,14))*HLOOKUP(I1,h2portion!$C$1:$AB$5,4)/HLOOKUP(I1,h2portion!$C$1:$AB$5,2)</f>
        <v>2051889.20909559</v>
      </c>
      <c r="J5" s="3">
        <f>(VLOOKUP(J1,'raw data1'!$A$6:$N$31,14))*HLOOKUP(J1,h2portion!$C$1:$AB$5,4)/HLOOKUP(J1,h2portion!$C$1:$AB$5,2)</f>
        <v>3366081.1630305536</v>
      </c>
      <c r="K5" s="3">
        <f>(VLOOKUP(K1,'raw data1'!$A$6:$N$31,14))*HLOOKUP(K1,h2portion!$C$1:$AB$5,4)/HLOOKUP(K1,h2portion!$C$1:$AB$5,2)</f>
        <v>3345818.5551102036</v>
      </c>
      <c r="L5" s="3">
        <f>(VLOOKUP(L1,'raw data1'!$A$6:$N$31,14))*HLOOKUP(L1,h2portion!$C$1:$AB$5,4)/HLOOKUP(L1,h2portion!$C$1:$AB$5,2)</f>
        <v>4995371.8655056562</v>
      </c>
      <c r="M5" s="3">
        <f>(VLOOKUP(M1,'raw data1'!$A$6:$N$31,14))*HLOOKUP(M1,h2portion!$C$1:$AB$5,4)/HLOOKUP(M1,h2portion!$C$1:$AB$5,2)</f>
        <v>6023085.5839396045</v>
      </c>
      <c r="N5" s="3">
        <f>(VLOOKUP(N1,'raw data1'!$A$6:$N$31,14))*HLOOKUP(N1,h2portion!$C$1:$AB$5,4)/HLOOKUP(N1,h2portion!$C$1:$AB$5,2)</f>
        <v>6536770.202141297</v>
      </c>
      <c r="O5" s="3">
        <f>(VLOOKUP(O1,'raw data1'!$A$6:$N$31,14))*HLOOKUP(O1,h2portion!$C$1:$AB$5,4)/HLOOKUP(O1,h2portion!$C$1:$AB$5,2)</f>
        <v>6254251.9555679578</v>
      </c>
      <c r="P5" s="3">
        <f>(VLOOKUP(P1,'raw data1'!$A$6:$N$31,14))*HLOOKUP(P1,h2portion!$C$1:$AB$5,4)/HLOOKUP(P1,h2portion!$C$1:$AB$5,2)</f>
        <v>5984678.7077362565</v>
      </c>
      <c r="Q5" s="3">
        <f>(VLOOKUP(Q1,'raw data1'!$A$6:$N$31,14))*HLOOKUP(Q1,h2portion!$C$1:$AB$5,4)/HLOOKUP(Q1,h2portion!$C$1:$AB$5,2)</f>
        <v>6417906.2920020148</v>
      </c>
      <c r="R5" s="3">
        <f>(VLOOKUP(R1,'raw data1'!$A$6:$N$31,14))*HLOOKUP(R1,h2portion!$C$1:$AB$5,4)/HLOOKUP(R1,h2portion!$C$1:$AB$5,2)</f>
        <v>5093756.1165587353</v>
      </c>
      <c r="S5" s="3">
        <f>(VLOOKUP(S1,'raw data1'!$A$6:$N$31,14))*HLOOKUP(S1,h2portion!$C$1:$AB$5,4)/HLOOKUP(S1,h2portion!$C$1:$AB$5,2)</f>
        <v>5455127.4652435128</v>
      </c>
      <c r="T5" s="3">
        <f>(VLOOKUP(T1,'raw data1'!$A$6:$N$31,14))*HLOOKUP(T1,h2portion!$C$1:$AB$5,4)/HLOOKUP(T1,h2portion!$C$1:$AB$5,2)</f>
        <v>5223246.6533161942</v>
      </c>
      <c r="U5" s="3">
        <f>(VLOOKUP(U1,'raw data1'!$A$6:$N$31,14))*HLOOKUP(U1,h2portion!$C$1:$AB$5,4)/HLOOKUP(U1,h2portion!$C$1:$AB$5,2)</f>
        <v>5506130.2683884837</v>
      </c>
      <c r="V5" s="3">
        <f>(VLOOKUP(V1,'raw data1'!$A$6:$N$31,14))*HLOOKUP(V1,h2portion!$C$1:$AB$5,4)/HLOOKUP(V1,h2portion!$C$1:$AB$5,2)</f>
        <v>5273513.7037345115</v>
      </c>
      <c r="W5" s="3">
        <f>(VLOOKUP(W1,'raw data1'!$A$6:$N$31,14))*HLOOKUP(W1,h2portion!$C$1:$AB$5,4)/HLOOKUP(W1,h2portion!$C$1:$AB$5,2)</f>
        <v>5445420.2351739127</v>
      </c>
      <c r="X5" s="3">
        <f>(VLOOKUP(X1,'raw data1'!$A$6:$N$31,14))*HLOOKUP(X1,h2portion!$C$1:$AB$5,4)/HLOOKUP(X1,h2portion!$C$1:$AB$5,2)</f>
        <v>5215318.4684017524</v>
      </c>
      <c r="Y5" s="3">
        <f>(VLOOKUP(Y1,'raw data1'!$A$6:$N$31,14))*HLOOKUP(Y1,h2portion!$C$1:$AB$5,4)/HLOOKUP(Y1,h2portion!$C$1:$AB$5,2)</f>
        <v>4995548.1601708839</v>
      </c>
      <c r="Z5" s="3">
        <f>(VLOOKUP(Z1,'raw data1'!$A$6:$N$31,14))*HLOOKUP(Z1,h2portion!$C$1:$AB$5,4)/HLOOKUP(Z1,h2portion!$C$1:$AB$5,2)</f>
        <v>4785169.3697784152</v>
      </c>
      <c r="AA5" s="3">
        <f>(VLOOKUP(AA1,'raw data1'!$A$6:$N$31,14))*HLOOKUP(AA1,h2portion!$C$1:$AB$5,4)/HLOOKUP(AA1,h2portion!$C$1:$AB$5,2)</f>
        <v>4584183.2242515665</v>
      </c>
    </row>
    <row r="6" spans="1:27" ht="15.75" customHeight="1" x14ac:dyDescent="0.2"/>
    <row r="7" spans="1:27" ht="15.75" customHeight="1" x14ac:dyDescent="0.2"/>
    <row r="8" spans="1:27" ht="15.75" customHeight="1" x14ac:dyDescent="0.2"/>
    <row r="9" spans="1:27" ht="15.75" customHeight="1" x14ac:dyDescent="0.2"/>
    <row r="10" spans="1:27" ht="15.75" customHeight="1" x14ac:dyDescent="0.2"/>
    <row r="11" spans="1:27" ht="15.75" customHeight="1" x14ac:dyDescent="0.2"/>
    <row r="12" spans="1:27" ht="15.75" customHeight="1" x14ac:dyDescent="0.2"/>
    <row r="13" spans="1:27" ht="15.75" customHeight="1" x14ac:dyDescent="0.2"/>
    <row r="14" spans="1:27" ht="15.75" customHeight="1" x14ac:dyDescent="0.2"/>
    <row r="15" spans="1:27" ht="15.75" customHeight="1" x14ac:dyDescent="0.2"/>
    <row r="16" spans="1:27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000"/>
  <sheetViews>
    <sheetView topLeftCell="C1" workbookViewId="0"/>
  </sheetViews>
  <sheetFormatPr baseColWidth="10" defaultColWidth="11.1640625" defaultRowHeight="15" customHeight="1" x14ac:dyDescent="0.2"/>
  <cols>
    <col min="1" max="2" width="10.5" customWidth="1"/>
    <col min="3" max="27" width="16.33203125" customWidth="1"/>
  </cols>
  <sheetData>
    <row r="1" spans="1:27" ht="15.75" customHeight="1" x14ac:dyDescent="0.2">
      <c r="A1" s="1" t="s">
        <v>0</v>
      </c>
      <c r="B1" s="1" t="s">
        <v>1</v>
      </c>
      <c r="C1" s="1">
        <v>2026</v>
      </c>
      <c r="D1" s="1">
        <v>2027</v>
      </c>
      <c r="E1" s="1">
        <v>2028</v>
      </c>
      <c r="F1" s="1">
        <v>2029</v>
      </c>
      <c r="G1" s="1">
        <v>2030</v>
      </c>
      <c r="H1" s="1">
        <v>2031</v>
      </c>
      <c r="I1" s="1">
        <v>2032</v>
      </c>
      <c r="J1" s="1">
        <v>2033</v>
      </c>
      <c r="K1" s="1">
        <v>2034</v>
      </c>
      <c r="L1" s="1">
        <v>2035</v>
      </c>
      <c r="M1" s="1">
        <v>2036</v>
      </c>
      <c r="N1" s="1">
        <v>2037</v>
      </c>
      <c r="O1" s="1">
        <v>2038</v>
      </c>
      <c r="P1" s="1">
        <v>2039</v>
      </c>
      <c r="Q1" s="1">
        <v>2040</v>
      </c>
      <c r="R1" s="1">
        <v>2041</v>
      </c>
      <c r="S1" s="1">
        <v>2042</v>
      </c>
      <c r="T1" s="1">
        <v>2043</v>
      </c>
      <c r="U1" s="1">
        <v>2044</v>
      </c>
      <c r="V1" s="1">
        <v>2045</v>
      </c>
      <c r="W1" s="1">
        <v>2046</v>
      </c>
      <c r="X1" s="1">
        <v>2047</v>
      </c>
      <c r="Y1" s="1">
        <v>2048</v>
      </c>
      <c r="Z1" s="1">
        <v>2049</v>
      </c>
      <c r="AA1" s="1">
        <v>2050</v>
      </c>
    </row>
    <row r="2" spans="1:27" ht="15.75" customHeight="1" x14ac:dyDescent="0.2">
      <c r="A2" s="1" t="s">
        <v>2</v>
      </c>
      <c r="B2" s="2" t="s">
        <v>3</v>
      </c>
      <c r="C2" s="3">
        <f>'raw data2'!M7</f>
        <v>-661199.45872340444</v>
      </c>
      <c r="D2" s="3">
        <f>'raw data2'!M8</f>
        <v>-710789.41531914903</v>
      </c>
      <c r="E2" s="3">
        <f>'raw data2'!M9</f>
        <v>-760379.37191489362</v>
      </c>
      <c r="F2" s="3">
        <f>'raw data2'!M10</f>
        <v>-809969.32851063833</v>
      </c>
      <c r="G2" s="3">
        <f>'raw data2'!M11</f>
        <v>-859559.28510638303</v>
      </c>
      <c r="H2" s="3">
        <f>'raw data2'!M12</f>
        <v>-1018247.1574468084</v>
      </c>
      <c r="I2" s="3">
        <f>'raw data2'!M13</f>
        <v>-1176935.029787234</v>
      </c>
      <c r="J2" s="3">
        <f>'raw data2'!M14</f>
        <v>-1633162.6557446809</v>
      </c>
      <c r="K2" s="3">
        <f>'raw data2'!M15</f>
        <v>-2089390.2817021278</v>
      </c>
      <c r="L2" s="3">
        <f>'raw data2'!M16</f>
        <v>-2644797.8348936178</v>
      </c>
      <c r="M2" s="3">
        <f>'raw data2'!M17</f>
        <v>-3636597.0229787235</v>
      </c>
      <c r="N2" s="3">
        <f>'raw data2'!M18</f>
        <v>-3636597.0229787235</v>
      </c>
      <c r="O2" s="3">
        <f>'raw data2'!M19</f>
        <v>-3735776.9361702134</v>
      </c>
      <c r="P2" s="3">
        <f>'raw data2'!M20</f>
        <v>-3735776.9361702134</v>
      </c>
      <c r="Q2" s="3">
        <f>'raw data2'!M21</f>
        <v>-3636597.0229787235</v>
      </c>
      <c r="R2" s="3">
        <f>'raw data2'!M22</f>
        <v>-3735776.9361702134</v>
      </c>
      <c r="S2" s="3">
        <f>'raw data2'!M23</f>
        <v>-3834956.8493617019</v>
      </c>
      <c r="T2" s="3">
        <f>'raw data2'!M24</f>
        <v>-4264736.505957447</v>
      </c>
      <c r="U2" s="3">
        <f>'raw data2'!M25</f>
        <v>-4694516.1485106386</v>
      </c>
      <c r="V2" s="3">
        <f>'raw data2'!M26</f>
        <v>-5124295.8051063837</v>
      </c>
      <c r="W2" s="3">
        <f>'raw data2'!M27</f>
        <v>-5223475.7182978727</v>
      </c>
      <c r="X2" s="3">
        <f>'raw data2'!M28</f>
        <v>-5322655.6314893616</v>
      </c>
      <c r="Y2" s="3">
        <f>'raw data2'!M29</f>
        <v>-5818555.2255319143</v>
      </c>
      <c r="Z2" s="3">
        <f>'raw data2'!M30</f>
        <v>-6314454.8195744688</v>
      </c>
      <c r="AA2" s="3">
        <f>'raw data2'!M31</f>
        <v>-6611994.5872340435</v>
      </c>
    </row>
    <row r="3" spans="1:27" ht="15.75" customHeight="1" x14ac:dyDescent="0.2">
      <c r="A3" s="1" t="s">
        <v>2</v>
      </c>
      <c r="B3" s="2" t="s">
        <v>4</v>
      </c>
      <c r="C3" s="3">
        <f>VLOOKUP(C1,'raw data2'!$A$6:$R$31,18)</f>
        <v>5574863.9834423997</v>
      </c>
      <c r="D3" s="3">
        <f>VLOOKUP(D1,'raw data2'!$A$6:$R$31,18)</f>
        <v>5714235.5830284599</v>
      </c>
      <c r="E3" s="3">
        <f>VLOOKUP(E1,'raw data2'!$A$6:$R$31,18)</f>
        <v>6178807.581648659</v>
      </c>
      <c r="F3" s="3">
        <f>VLOOKUP(F1,'raw data2'!$A$6:$R$31,18)</f>
        <v>6658865.3135561999</v>
      </c>
      <c r="G3" s="3">
        <f>VLOOKUP(G1,'raw data2'!$A$6:$R$31,18)</f>
        <v>7154408.778751079</v>
      </c>
      <c r="H3" s="3">
        <f>VLOOKUP(H1,'raw data2'!$A$6:$R$31,18)</f>
        <v>7674729.4172057044</v>
      </c>
      <c r="I3" s="3">
        <f>VLOOKUP(I1,'raw data2'!$A$6:$R$31,18)</f>
        <v>8585290.5345012955</v>
      </c>
      <c r="J3" s="3">
        <f>VLOOKUP(J1,'raw data2'!$A$6:$R$31,18)</f>
        <v>11940538.926894836</v>
      </c>
      <c r="K3" s="3">
        <f>VLOOKUP(K1,'raw data2'!$A$6:$R$31,18)</f>
        <v>15553614.094379906</v>
      </c>
      <c r="L3" s="3">
        <f>VLOOKUP(L1,'raw data2'!$A$6:$R$31,18)</f>
        <v>20292317.845814999</v>
      </c>
      <c r="M3" s="3">
        <f>VLOOKUP(M1,'raw data2'!$A$6:$R$31,18)</f>
        <v>26567043.446887501</v>
      </c>
      <c r="N3" s="3">
        <f>VLOOKUP(N1,'raw data2'!$A$6:$R$31,18)</f>
        <v>28970335.726125002</v>
      </c>
      <c r="O3" s="3">
        <f>VLOOKUP(O1,'raw data2'!$A$6:$R$31,18)</f>
        <v>31760771.337546006</v>
      </c>
      <c r="P3" s="3">
        <f>VLOOKUP(P1,'raw data2'!$A$6:$R$31,18)</f>
        <v>34164063.6167835</v>
      </c>
      <c r="Q3" s="3">
        <f>VLOOKUP(Q1,'raw data2'!$A$6:$R$31,18)</f>
        <v>33776920.284600005</v>
      </c>
      <c r="R3" s="3">
        <f>VLOOKUP(R1,'raw data2'!$A$6:$R$31,18)</f>
        <v>35365709.843208499</v>
      </c>
      <c r="S3" s="3">
        <f>VLOOKUP(S1,'raw data2'!$A$6:$R$31,18)</f>
        <v>36954499.228204504</v>
      </c>
      <c r="T3" s="3">
        <f>VLOOKUP(T1,'raw data2'!$A$6:$R$31,18)</f>
        <v>39833766.560757995</v>
      </c>
      <c r="U3" s="3">
        <f>VLOOKUP(U1,'raw data2'!$A$6:$R$31,18)</f>
        <v>42713033.719698995</v>
      </c>
      <c r="V3" s="3">
        <f>VLOOKUP(V1,'raw data2'!$A$6:$R$31,18)</f>
        <v>44390654.825827502</v>
      </c>
      <c r="W3" s="3">
        <f>VLOOKUP(W1,'raw data2'!$A$6:$R$31,18)</f>
        <v>44777798.158011004</v>
      </c>
      <c r="X3" s="3">
        <f>VLOOKUP(X1,'raw data2'!$A$6:$R$31,18)</f>
        <v>45164941.490194499</v>
      </c>
      <c r="Y3" s="3">
        <f>VLOOKUP(Y1,'raw data2'!$A$6:$R$31,18)</f>
        <v>49023291.988387004</v>
      </c>
      <c r="Z3" s="3">
        <f>VLOOKUP(Z1,'raw data2'!$A$6:$R$31,18)</f>
        <v>52881642.451866999</v>
      </c>
      <c r="AA3" s="3">
        <f>VLOOKUP(AA1,'raw data2'!$A$6:$R$31,18)</f>
        <v>55004389.367054999</v>
      </c>
    </row>
    <row r="4" spans="1:27" ht="15.75" customHeight="1" x14ac:dyDescent="0.2">
      <c r="A4" s="1" t="s">
        <v>5</v>
      </c>
      <c r="B4" s="4" t="s">
        <v>6</v>
      </c>
      <c r="C4" s="3">
        <f>(VLOOKUP(C1,'raw data2'!$A$6:$N$31,14))*HLOOKUP(C1,h2portion!$C$1:$AB$5,3)/HLOOKUP(C1,h2portion!$C$1:$AB$5,2)</f>
        <v>0</v>
      </c>
      <c r="D4" s="3">
        <f>(VLOOKUP(D1,'raw data2'!$A$6:$N$31,14))*HLOOKUP(D1,h2portion!$C$1:$AB$5,3)/HLOOKUP(D1,h2portion!$C$1:$AB$5,2)</f>
        <v>0</v>
      </c>
      <c r="E4" s="3">
        <f>(VLOOKUP(E1,'raw data2'!$A$6:$N$31,14))*HLOOKUP(E1,h2portion!$C$1:$AB$5,3)/HLOOKUP(E1,h2portion!$C$1:$AB$5,2)</f>
        <v>0</v>
      </c>
      <c r="F4" s="3">
        <f>(VLOOKUP(F1,'raw data2'!$A$6:$N$31,14))*HLOOKUP(F1,h2portion!$C$1:$AB$5,3)/HLOOKUP(F1,h2portion!$C$1:$AB$5,2)</f>
        <v>0</v>
      </c>
      <c r="G4" s="3">
        <f>(VLOOKUP(G1,'raw data2'!$A$6:$N$31,14))*HLOOKUP(G1,h2portion!$C$1:$AB$5,3)/HLOOKUP(G1,h2portion!$C$1:$AB$5,2)</f>
        <v>0</v>
      </c>
      <c r="H4" s="3">
        <f>(VLOOKUP(H1,'raw data2'!$A$6:$N$31,14))*HLOOKUP(H1,h2portion!$C$1:$AB$5,3)/HLOOKUP(H1,h2portion!$C$1:$AB$5,2)</f>
        <v>0</v>
      </c>
      <c r="I4" s="3">
        <f>(VLOOKUP(I1,'raw data2'!$A$6:$N$31,14))*HLOOKUP(I1,h2portion!$C$1:$AB$5,3)/HLOOKUP(I1,h2portion!$C$1:$AB$5,2)</f>
        <v>0</v>
      </c>
      <c r="J4" s="3">
        <f>(VLOOKUP(J1,'raw data2'!$A$6:$N$31,14))*HLOOKUP(J1,h2portion!$C$1:$AB$5,3)/HLOOKUP(J1,h2portion!$C$1:$AB$5,2)</f>
        <v>293111.11653098412</v>
      </c>
      <c r="K4" s="3">
        <f>(VLOOKUP(K1,'raw data2'!$A$6:$N$31,14))*HLOOKUP(K1,h2portion!$C$1:$AB$5,3)/HLOOKUP(K1,h2portion!$C$1:$AB$5,2)</f>
        <v>582693.38432439591</v>
      </c>
      <c r="L4" s="3">
        <f>(VLOOKUP(L1,'raw data2'!$A$6:$N$31,14))*HLOOKUP(L1,h2portion!$C$1:$AB$5,3)/HLOOKUP(L1,h2portion!$C$1:$AB$5,2)</f>
        <v>958876.99323580193</v>
      </c>
      <c r="M4" s="3">
        <f>(VLOOKUP(M1,'raw data2'!$A$6:$N$31,14))*HLOOKUP(M1,h2portion!$C$1:$AB$5,3)/HLOOKUP(M1,h2portion!$C$1:$AB$5,2)</f>
        <v>1418813.9570956107</v>
      </c>
      <c r="N4" s="3">
        <f>(VLOOKUP(N1,'raw data2'!$A$6:$N$31,14))*HLOOKUP(N1,h2portion!$C$1:$AB$5,3)/HLOOKUP(N1,h2portion!$C$1:$AB$5,2)</f>
        <v>1771440.7343370665</v>
      </c>
      <c r="O4" s="3">
        <f>(VLOOKUP(O1,'raw data2'!$A$6:$N$31,14))*HLOOKUP(O1,h2portion!$C$1:$AB$5,3)/HLOOKUP(O1,h2portion!$C$1:$AB$5,2)</f>
        <v>2118599.1579738981</v>
      </c>
      <c r="P4" s="3">
        <f>(VLOOKUP(P1,'raw data2'!$A$6:$N$31,14))*HLOOKUP(P1,h2portion!$C$1:$AB$5,3)/HLOOKUP(P1,h2portion!$C$1:$AB$5,2)</f>
        <v>2432738.9483565385</v>
      </c>
      <c r="Q4" s="3">
        <f>(VLOOKUP(Q1,'raw data2'!$A$6:$N$31,14))*HLOOKUP(Q1,h2portion!$C$1:$AB$5,3)/HLOOKUP(Q1,h2portion!$C$1:$AB$5,2)</f>
        <v>2328420.9778691838</v>
      </c>
      <c r="R4" s="3">
        <f>(VLOOKUP(R1,'raw data2'!$A$6:$N$31,14))*HLOOKUP(R1,h2portion!$C$1:$AB$5,3)/HLOOKUP(R1,h2portion!$C$1:$AB$5,2)</f>
        <v>2229874.8620580472</v>
      </c>
      <c r="S4" s="3">
        <f>(VLOOKUP(S1,'raw data2'!$A$6:$N$31,14))*HLOOKUP(S1,h2portion!$C$1:$AB$5,3)/HLOOKUP(S1,h2portion!$C$1:$AB$5,2)</f>
        <v>2299010.6384728593</v>
      </c>
      <c r="T4" s="3">
        <f>(VLOOKUP(T1,'raw data2'!$A$6:$N$31,14))*HLOOKUP(T1,h2portion!$C$1:$AB$5,3)/HLOOKUP(T1,h2portion!$C$1:$AB$5,2)</f>
        <v>2358521.4877440631</v>
      </c>
      <c r="U4" s="3">
        <f>(VLOOKUP(U1,'raw data2'!$A$6:$N$31,14))*HLOOKUP(U1,h2portion!$C$1:$AB$5,3)/HLOOKUP(U1,h2portion!$C$1:$AB$5,2)</f>
        <v>2409027.3464331361</v>
      </c>
      <c r="V4" s="3">
        <f>(VLOOKUP(V1,'raw data2'!$A$6:$N$31,14))*HLOOKUP(V1,h2portion!$C$1:$AB$5,3)/HLOOKUP(V1,h2portion!$C$1:$AB$5,2)</f>
        <v>2307253.5709919748</v>
      </c>
      <c r="W4" s="3">
        <f>(VLOOKUP(W1,'raw data2'!$A$6:$N$31,14))*HLOOKUP(W1,h2portion!$C$1:$AB$5,3)/HLOOKUP(W1,h2portion!$C$1:$AB$5,2)</f>
        <v>2210053.8978178324</v>
      </c>
      <c r="X4" s="3">
        <f>(VLOOKUP(X1,'raw data2'!$A$6:$N$31,14))*HLOOKUP(X1,h2portion!$C$1:$AB$5,3)/HLOOKUP(X1,h2portion!$C$1:$AB$5,2)</f>
        <v>2116665.8240627963</v>
      </c>
      <c r="Y4" s="3">
        <f>(VLOOKUP(Y1,'raw data2'!$A$6:$N$31,14))*HLOOKUP(Y1,h2portion!$C$1:$AB$5,3)/HLOOKUP(Y1,h2portion!$C$1:$AB$5,2)</f>
        <v>2230217.9169114777</v>
      </c>
      <c r="Z4" s="3">
        <f>(VLOOKUP(Z1,'raw data2'!$A$6:$N$31,14))*HLOOKUP(Z1,h2portion!$C$1:$AB$5,3)/HLOOKUP(Z1,h2portion!$C$1:$AB$5,2)</f>
        <v>2330504.9201325453</v>
      </c>
      <c r="AA4" s="3">
        <f>(VLOOKUP(AA1,'raw data2'!$A$6:$N$31,14))*HLOOKUP(AA1,h2portion!$C$1:$AB$5,3)/HLOOKUP(AA1,h2portion!$C$1:$AB$5,2)</f>
        <v>2325645.1213872028</v>
      </c>
    </row>
    <row r="5" spans="1:27" ht="15.75" customHeight="1" x14ac:dyDescent="0.2">
      <c r="A5" s="1" t="s">
        <v>5</v>
      </c>
      <c r="B5" s="4" t="s">
        <v>7</v>
      </c>
      <c r="C5" s="3">
        <f>(VLOOKUP(C1,'raw data2'!$A$6:$N$31,14))*HLOOKUP(C1,h2portion!$C$1:$AB$5,4)/HLOOKUP(C1,h2portion!$C$1:$AB$5,2)</f>
        <v>0</v>
      </c>
      <c r="D5" s="3">
        <f>(VLOOKUP(D1,'raw data2'!$A$6:$N$31,14))*HLOOKUP(D1,h2portion!$C$1:$AB$5,4)/HLOOKUP(D1,h2portion!$C$1:$AB$5,2)</f>
        <v>0</v>
      </c>
      <c r="E5" s="3">
        <f>(VLOOKUP(E1,'raw data2'!$A$6:$N$31,14))*HLOOKUP(E1,h2portion!$C$1:$AB$5,4)/HLOOKUP(E1,h2portion!$C$1:$AB$5,2)</f>
        <v>0</v>
      </c>
      <c r="F5" s="3">
        <f>(VLOOKUP(F1,'raw data2'!$A$6:$N$31,14))*HLOOKUP(F1,h2portion!$C$1:$AB$5,4)/HLOOKUP(F1,h2portion!$C$1:$AB$5,2)</f>
        <v>0</v>
      </c>
      <c r="G5" s="3">
        <f>(VLOOKUP(G1,'raw data2'!$A$6:$N$31,14))*HLOOKUP(G1,h2portion!$C$1:$AB$5,4)/HLOOKUP(G1,h2portion!$C$1:$AB$5,2)</f>
        <v>0</v>
      </c>
      <c r="H5" s="3">
        <f>(VLOOKUP(H1,'raw data2'!$A$6:$N$31,14))*HLOOKUP(H1,h2portion!$C$1:$AB$5,4)/HLOOKUP(H1,h2portion!$C$1:$AB$5,2)</f>
        <v>0</v>
      </c>
      <c r="I5" s="3">
        <f>(VLOOKUP(I1,'raw data2'!$A$6:$N$31,14))*HLOOKUP(I1,h2portion!$C$1:$AB$5,4)/HLOOKUP(I1,h2portion!$C$1:$AB$5,2)</f>
        <v>0</v>
      </c>
      <c r="J5" s="3">
        <f>(VLOOKUP(J1,'raw data2'!$A$6:$N$31,14))*HLOOKUP(J1,h2portion!$C$1:$AB$5,4)/HLOOKUP(J1,h2portion!$C$1:$AB$5,2)</f>
        <v>371501.29885903804</v>
      </c>
      <c r="K5" s="3">
        <f>(VLOOKUP(K1,'raw data2'!$A$6:$N$31,14))*HLOOKUP(K1,h2portion!$C$1:$AB$5,4)/HLOOKUP(K1,h2portion!$C$1:$AB$5,2)</f>
        <v>738529.98710882734</v>
      </c>
      <c r="L5" s="3">
        <f>(VLOOKUP(L1,'raw data2'!$A$6:$N$31,14))*HLOOKUP(L1,h2portion!$C$1:$AB$5,4)/HLOOKUP(L1,h2portion!$C$1:$AB$5,2)</f>
        <v>1215320.8402639816</v>
      </c>
      <c r="M5" s="3">
        <f>(VLOOKUP(M1,'raw data2'!$A$6:$N$31,14))*HLOOKUP(M1,h2portion!$C$1:$AB$5,4)/HLOOKUP(M1,h2portion!$C$1:$AB$5,2)</f>
        <v>1798264.2014351345</v>
      </c>
      <c r="N5" s="3">
        <f>(VLOOKUP(N1,'raw data2'!$A$6:$N$31,14))*HLOOKUP(N1,h2portion!$C$1:$AB$5,4)/HLOOKUP(N1,h2portion!$C$1:$AB$5,2)</f>
        <v>2245198.1400318639</v>
      </c>
      <c r="O5" s="3">
        <f>(VLOOKUP(O1,'raw data2'!$A$6:$N$31,14))*HLOOKUP(O1,h2portion!$C$1:$AB$5,4)/HLOOKUP(O1,h2portion!$C$1:$AB$5,2)</f>
        <v>2685201.2583622662</v>
      </c>
      <c r="P5" s="3">
        <f>(VLOOKUP(P1,'raw data2'!$A$6:$N$31,14))*HLOOKUP(P1,h2portion!$C$1:$AB$5,4)/HLOOKUP(P1,h2portion!$C$1:$AB$5,2)</f>
        <v>3083355.1787309614</v>
      </c>
      <c r="Q5" s="3">
        <f>(VLOOKUP(Q1,'raw data2'!$A$6:$N$31,14))*HLOOKUP(Q1,h2portion!$C$1:$AB$5,4)/HLOOKUP(Q1,h2portion!$C$1:$AB$5,2)</f>
        <v>2951138.2161365245</v>
      </c>
      <c r="R5" s="3">
        <f>(VLOOKUP(R1,'raw data2'!$A$6:$N$31,14))*HLOOKUP(R1,h2portion!$C$1:$AB$5,4)/HLOOKUP(R1,h2portion!$C$1:$AB$5,2)</f>
        <v>2537443.8085488128</v>
      </c>
      <c r="S5" s="3">
        <f>(VLOOKUP(S1,'raw data2'!$A$6:$N$31,14))*HLOOKUP(S1,h2portion!$C$1:$AB$5,4)/HLOOKUP(S1,h2portion!$C$1:$AB$5,2)</f>
        <v>2616115.5541242887</v>
      </c>
      <c r="T5" s="3">
        <f>(VLOOKUP(T1,'raw data2'!$A$6:$N$31,14))*HLOOKUP(T1,h2portion!$C$1:$AB$5,4)/HLOOKUP(T1,h2portion!$C$1:$AB$5,2)</f>
        <v>2683834.7963984166</v>
      </c>
      <c r="U5" s="3">
        <f>(VLOOKUP(U1,'raw data2'!$A$6:$N$31,14))*HLOOKUP(U1,h2portion!$C$1:$AB$5,4)/HLOOKUP(U1,h2portion!$C$1:$AB$5,2)</f>
        <v>2741306.9804239138</v>
      </c>
      <c r="V5" s="3">
        <f>(VLOOKUP(V1,'raw data2'!$A$6:$N$31,14))*HLOOKUP(V1,h2portion!$C$1:$AB$5,4)/HLOOKUP(V1,h2portion!$C$1:$AB$5,2)</f>
        <v>2625495.4428529372</v>
      </c>
      <c r="W5" s="3">
        <f>(VLOOKUP(W1,'raw data2'!$A$6:$N$31,14))*HLOOKUP(W1,h2portion!$C$1:$AB$5,4)/HLOOKUP(W1,h2portion!$C$1:$AB$5,2)</f>
        <v>2514888.9182064994</v>
      </c>
      <c r="X5" s="3">
        <f>(VLOOKUP(X1,'raw data2'!$A$6:$N$31,14))*HLOOKUP(X1,h2portion!$C$1:$AB$5,4)/HLOOKUP(X1,h2portion!$C$1:$AB$5,2)</f>
        <v>2408619.7308300789</v>
      </c>
      <c r="Y5" s="3">
        <f>(VLOOKUP(Y1,'raw data2'!$A$6:$N$31,14))*HLOOKUP(Y1,h2portion!$C$1:$AB$5,4)/HLOOKUP(Y1,h2portion!$C$1:$AB$5,2)</f>
        <v>2537834.1813130612</v>
      </c>
      <c r="Z5" s="3">
        <f>(VLOOKUP(Z1,'raw data2'!$A$6:$N$31,14))*HLOOKUP(Z1,h2portion!$C$1:$AB$5,4)/HLOOKUP(Z1,h2portion!$C$1:$AB$5,2)</f>
        <v>2651953.8746335865</v>
      </c>
      <c r="AA5" s="3">
        <f>(VLOOKUP(AA1,'raw data2'!$A$6:$N$31,14))*HLOOKUP(AA1,h2portion!$C$1:$AB$5,4)/HLOOKUP(AA1,h2portion!$C$1:$AB$5,2)</f>
        <v>2646423.7588199209</v>
      </c>
    </row>
    <row r="6" spans="1:27" ht="15.75" customHeight="1" x14ac:dyDescent="0.2">
      <c r="C6" s="3"/>
    </row>
    <row r="7" spans="1:27" ht="15.75" customHeight="1" x14ac:dyDescent="0.2">
      <c r="C7" s="3"/>
    </row>
    <row r="8" spans="1:27" ht="15.75" customHeight="1" x14ac:dyDescent="0.2">
      <c r="C8" s="3"/>
    </row>
    <row r="9" spans="1:27" ht="15.75" customHeight="1" x14ac:dyDescent="0.2"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5.75" customHeight="1" x14ac:dyDescent="0.2"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5.75" customHeight="1" x14ac:dyDescent="0.2"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5.75" customHeight="1" x14ac:dyDescent="0.2">
      <c r="C12" s="3"/>
    </row>
    <row r="13" spans="1:27" ht="15.75" customHeight="1" x14ac:dyDescent="0.2">
      <c r="C13" s="3"/>
    </row>
    <row r="14" spans="1:27" ht="15.75" customHeight="1" x14ac:dyDescent="0.2">
      <c r="C14" s="3"/>
    </row>
    <row r="15" spans="1:27" ht="15.75" customHeight="1" x14ac:dyDescent="0.2">
      <c r="C15" s="3"/>
    </row>
    <row r="16" spans="1:27" ht="15.75" customHeight="1" x14ac:dyDescent="0.2">
      <c r="C16" s="3"/>
    </row>
    <row r="17" spans="3:3" ht="15.75" customHeight="1" x14ac:dyDescent="0.2">
      <c r="C17" s="3"/>
    </row>
    <row r="18" spans="3:3" ht="15.75" customHeight="1" x14ac:dyDescent="0.2">
      <c r="C18" s="3"/>
    </row>
    <row r="19" spans="3:3" ht="15.75" customHeight="1" x14ac:dyDescent="0.2">
      <c r="C19" s="3"/>
    </row>
    <row r="20" spans="3:3" ht="15.75" customHeight="1" x14ac:dyDescent="0.2">
      <c r="C20" s="3"/>
    </row>
    <row r="21" spans="3:3" ht="15.75" customHeight="1" x14ac:dyDescent="0.2">
      <c r="C21" s="3"/>
    </row>
    <row r="22" spans="3:3" ht="15.75" customHeight="1" x14ac:dyDescent="0.2">
      <c r="C22" s="3"/>
    </row>
    <row r="23" spans="3:3" ht="15.75" customHeight="1" x14ac:dyDescent="0.2">
      <c r="C23" s="3"/>
    </row>
    <row r="24" spans="3:3" ht="15.75" customHeight="1" x14ac:dyDescent="0.2">
      <c r="C24" s="3"/>
    </row>
    <row r="25" spans="3:3" ht="15.75" customHeight="1" x14ac:dyDescent="0.2">
      <c r="C25" s="3"/>
    </row>
    <row r="26" spans="3:3" ht="15.75" customHeight="1" x14ac:dyDescent="0.2">
      <c r="C26" s="3"/>
    </row>
    <row r="27" spans="3:3" ht="15.75" customHeight="1" x14ac:dyDescent="0.2">
      <c r="C27" s="3"/>
    </row>
    <row r="28" spans="3:3" ht="15.75" customHeight="1" x14ac:dyDescent="0.2">
      <c r="C28" s="3"/>
    </row>
    <row r="29" spans="3:3" ht="15.75" customHeight="1" x14ac:dyDescent="0.2">
      <c r="C29" s="3"/>
    </row>
    <row r="30" spans="3:3" ht="15.75" customHeight="1" x14ac:dyDescent="0.2">
      <c r="C30" s="3"/>
    </row>
    <row r="31" spans="3:3" ht="15.75" customHeight="1" x14ac:dyDescent="0.2">
      <c r="C31" s="3"/>
    </row>
    <row r="32" spans="3:3" ht="15.75" customHeight="1" x14ac:dyDescent="0.2">
      <c r="C32" s="3"/>
    </row>
    <row r="33" spans="3:3" ht="15.75" customHeight="1" x14ac:dyDescent="0.2">
      <c r="C33" s="3"/>
    </row>
    <row r="34" spans="3:3" ht="15.75" customHeight="1" x14ac:dyDescent="0.2">
      <c r="C34" s="3"/>
    </row>
    <row r="35" spans="3:3" ht="15.75" customHeight="1" x14ac:dyDescent="0.2">
      <c r="C35" s="3"/>
    </row>
    <row r="36" spans="3:3" ht="15.75" customHeight="1" x14ac:dyDescent="0.2">
      <c r="C36" s="3"/>
    </row>
    <row r="37" spans="3:3" ht="15.75" customHeight="1" x14ac:dyDescent="0.2">
      <c r="C37" s="3"/>
    </row>
    <row r="38" spans="3:3" ht="15.75" customHeight="1" x14ac:dyDescent="0.2"/>
    <row r="39" spans="3:3" ht="15.75" customHeight="1" x14ac:dyDescent="0.2"/>
    <row r="40" spans="3:3" ht="15.75" customHeight="1" x14ac:dyDescent="0.2"/>
    <row r="41" spans="3:3" ht="15.75" customHeight="1" x14ac:dyDescent="0.2"/>
    <row r="42" spans="3:3" ht="15.75" customHeight="1" x14ac:dyDescent="0.2"/>
    <row r="43" spans="3:3" ht="15.75" customHeight="1" x14ac:dyDescent="0.2"/>
    <row r="44" spans="3:3" ht="15.75" customHeight="1" x14ac:dyDescent="0.2"/>
    <row r="45" spans="3:3" ht="15.75" customHeight="1" x14ac:dyDescent="0.2"/>
    <row r="46" spans="3:3" ht="15.75" customHeight="1" x14ac:dyDescent="0.2"/>
    <row r="47" spans="3:3" ht="15.75" customHeight="1" x14ac:dyDescent="0.2"/>
    <row r="48" spans="3:3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000"/>
  <sheetViews>
    <sheetView topLeftCell="D1" zoomScale="112" workbookViewId="0">
      <selection activeCell="J34" sqref="J34"/>
    </sheetView>
  </sheetViews>
  <sheetFormatPr baseColWidth="10" defaultColWidth="11.1640625" defaultRowHeight="15" customHeight="1" x14ac:dyDescent="0.2"/>
  <cols>
    <col min="1" max="1" width="10.5" customWidth="1"/>
    <col min="2" max="2" width="14.6640625" customWidth="1"/>
    <col min="3" max="3" width="13.6640625" customWidth="1"/>
    <col min="4" max="4" width="15.33203125" customWidth="1"/>
    <col min="5" max="6" width="14.6640625" customWidth="1"/>
    <col min="7" max="7" width="13.6640625" customWidth="1"/>
    <col min="8" max="8" width="14.6640625" customWidth="1"/>
    <col min="9" max="9" width="10.5" customWidth="1"/>
    <col min="10" max="11" width="14.6640625" customWidth="1"/>
    <col min="12" max="12" width="10.5" customWidth="1"/>
    <col min="13" max="13" width="13.1640625" customWidth="1"/>
    <col min="14" max="14" width="13.6640625" customWidth="1"/>
    <col min="15" max="16" width="12.6640625" customWidth="1"/>
    <col min="17" max="18" width="13.6640625" customWidth="1"/>
    <col min="19" max="26" width="10.5" customWidth="1"/>
  </cols>
  <sheetData>
    <row r="1" spans="1:18" ht="15.75" customHeight="1" x14ac:dyDescent="0.2">
      <c r="B1" s="5" t="s">
        <v>8</v>
      </c>
      <c r="C1" s="5"/>
      <c r="D1" s="5">
        <v>4</v>
      </c>
      <c r="E1" s="5">
        <v>5</v>
      </c>
      <c r="F1" s="5">
        <v>6</v>
      </c>
      <c r="G1" s="5">
        <v>7</v>
      </c>
      <c r="H1" s="5">
        <v>8</v>
      </c>
      <c r="I1" s="5">
        <v>9</v>
      </c>
      <c r="J1" s="5">
        <v>10</v>
      </c>
      <c r="K1" s="5">
        <v>11</v>
      </c>
      <c r="L1" s="5">
        <v>12</v>
      </c>
      <c r="M1" s="5">
        <v>13</v>
      </c>
      <c r="N1" s="5">
        <v>14</v>
      </c>
      <c r="O1" s="5">
        <v>15</v>
      </c>
      <c r="P1" s="5">
        <v>16</v>
      </c>
      <c r="Q1" s="5">
        <v>17</v>
      </c>
      <c r="R1" s="5">
        <v>18</v>
      </c>
    </row>
    <row r="2" spans="1:18" ht="15.75" customHeight="1" x14ac:dyDescent="0.2">
      <c r="A2" s="1" t="s">
        <v>9</v>
      </c>
      <c r="B2" s="5" t="s">
        <v>10</v>
      </c>
      <c r="C2" s="5"/>
      <c r="D2" s="5"/>
      <c r="E2" s="5"/>
      <c r="F2" s="5"/>
      <c r="G2" s="5"/>
      <c r="H2" s="5"/>
      <c r="I2" s="5"/>
      <c r="J2" s="5"/>
      <c r="K2" s="5"/>
      <c r="L2" s="5"/>
      <c r="M2" s="6" t="s">
        <v>11</v>
      </c>
      <c r="N2" s="7" t="s">
        <v>12</v>
      </c>
      <c r="O2" s="7" t="s">
        <v>13</v>
      </c>
      <c r="P2" s="7" t="s">
        <v>13</v>
      </c>
      <c r="Q2" s="7" t="s">
        <v>13</v>
      </c>
      <c r="R2" s="8" t="s">
        <v>13</v>
      </c>
    </row>
    <row r="3" spans="1:18" ht="15.75" customHeight="1" x14ac:dyDescent="0.2"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9" t="s">
        <v>19</v>
      </c>
      <c r="H3" s="5" t="s">
        <v>20</v>
      </c>
      <c r="I3" s="5"/>
      <c r="J3" s="5" t="s">
        <v>21</v>
      </c>
      <c r="K3" s="5" t="s">
        <v>22</v>
      </c>
      <c r="L3" s="5"/>
      <c r="M3" s="10"/>
      <c r="N3" s="11"/>
      <c r="O3" s="12" t="s">
        <v>23</v>
      </c>
      <c r="P3" s="12" t="s">
        <v>24</v>
      </c>
      <c r="Q3" s="13" t="s">
        <v>25</v>
      </c>
      <c r="R3" s="14" t="s">
        <v>26</v>
      </c>
    </row>
    <row r="4" spans="1:18" ht="15.75" customHeight="1" x14ac:dyDescent="0.2"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15"/>
      <c r="N4" s="5"/>
      <c r="O4" s="5"/>
      <c r="P4" s="5"/>
      <c r="Q4" s="5"/>
      <c r="R4" s="16"/>
    </row>
    <row r="5" spans="1:18" ht="15.75" customHeight="1" x14ac:dyDescent="0.2">
      <c r="A5" s="1" t="s">
        <v>27</v>
      </c>
      <c r="B5" s="5" t="s">
        <v>28</v>
      </c>
      <c r="C5" s="5" t="s">
        <v>28</v>
      </c>
      <c r="D5" s="5" t="s">
        <v>28</v>
      </c>
      <c r="E5" s="5" t="s">
        <v>28</v>
      </c>
      <c r="F5" s="5" t="s">
        <v>28</v>
      </c>
      <c r="G5" s="5" t="s">
        <v>28</v>
      </c>
      <c r="H5" s="5"/>
      <c r="I5" s="5"/>
      <c r="J5" s="5" t="s">
        <v>28</v>
      </c>
      <c r="K5" s="5" t="s">
        <v>28</v>
      </c>
      <c r="L5" s="5"/>
      <c r="M5" s="17" t="s">
        <v>29</v>
      </c>
      <c r="N5" s="18" t="s">
        <v>29</v>
      </c>
      <c r="O5" s="18" t="s">
        <v>29</v>
      </c>
      <c r="P5" s="18" t="s">
        <v>29</v>
      </c>
      <c r="Q5" s="18" t="s">
        <v>29</v>
      </c>
      <c r="R5" s="19" t="s">
        <v>29</v>
      </c>
    </row>
    <row r="6" spans="1:18" ht="15.75" customHeight="1" x14ac:dyDescent="0.2">
      <c r="A6" s="20">
        <v>2025</v>
      </c>
      <c r="B6" s="21">
        <v>655860717.43200004</v>
      </c>
      <c r="C6" s="21">
        <v>48082610.148000002</v>
      </c>
      <c r="D6" s="21">
        <f t="shared" ref="D6:D31" si="0">SUM(B6:C6)</f>
        <v>703943327.58000004</v>
      </c>
      <c r="E6" s="21">
        <v>0</v>
      </c>
      <c r="F6" s="21">
        <v>0</v>
      </c>
      <c r="G6" s="28">
        <v>0</v>
      </c>
      <c r="H6" s="21">
        <f t="shared" ref="H6:H31" si="1">SUM(D6:G6)</f>
        <v>703943327.58000004</v>
      </c>
      <c r="I6" s="22"/>
      <c r="J6" s="22"/>
      <c r="K6" s="22"/>
      <c r="L6" s="20">
        <v>2025</v>
      </c>
      <c r="M6" s="23"/>
      <c r="N6" s="22">
        <f>E6*parameters!K7/1000</f>
        <v>0</v>
      </c>
      <c r="O6" s="22">
        <f>parameters!$G$7*(1-parameters!$H7)*parameters!L7/1000</f>
        <v>974131.53007012967</v>
      </c>
      <c r="P6" s="22">
        <f>(G6+F6)*parameters!$C$7*parameters!L7/1000</f>
        <v>0</v>
      </c>
      <c r="Q6" s="22">
        <f>E6*parameters!$E$7*parameters!$D$7*parameters!L7/1000</f>
        <v>0</v>
      </c>
      <c r="R6" s="24">
        <f t="shared" ref="R6:R31" si="2">O6+P6+Q6</f>
        <v>974131.53007012967</v>
      </c>
    </row>
    <row r="7" spans="1:18" ht="15.75" customHeight="1" x14ac:dyDescent="0.2">
      <c r="A7" s="20">
        <v>2026</v>
      </c>
      <c r="B7" s="21">
        <v>611842245.31575882</v>
      </c>
      <c r="C7" s="21">
        <v>45041398.948326387</v>
      </c>
      <c r="D7" s="21">
        <f t="shared" si="0"/>
        <v>656883644.26408517</v>
      </c>
      <c r="E7" s="21">
        <v>0</v>
      </c>
      <c r="F7" s="21">
        <v>0</v>
      </c>
      <c r="G7" s="28">
        <v>15000000</v>
      </c>
      <c r="H7" s="21">
        <f t="shared" si="1"/>
        <v>671883644.26408517</v>
      </c>
      <c r="I7" s="22"/>
      <c r="J7" s="22">
        <f t="shared" ref="J7:J31" si="3">(B6+C6)-(B7+C7)</f>
        <v>47059683.315914869</v>
      </c>
      <c r="K7" s="22">
        <f>J7</f>
        <v>47059683.315914869</v>
      </c>
      <c r="L7" s="20">
        <v>2026</v>
      </c>
      <c r="M7" s="23">
        <f>-K7*parameters!$B$7*parameters!J8/1000</f>
        <v>-660838.10613837908</v>
      </c>
      <c r="N7" s="22">
        <f>E7*parameters!K8/1000</f>
        <v>0</v>
      </c>
      <c r="O7" s="22">
        <f>parameters!$G$7*(1-parameters!$H8)*parameters!L8/1000</f>
        <v>1779728.1933461181</v>
      </c>
      <c r="P7" s="22">
        <f>(G7+F7)*parameters!$C$7*parameters!L8/1000</f>
        <v>750060</v>
      </c>
      <c r="Q7" s="22">
        <f>E7*parameters!$E$7*parameters!$D$7*parameters!L8/1000</f>
        <v>0</v>
      </c>
      <c r="R7" s="24">
        <f t="shared" si="2"/>
        <v>2529788.1933461181</v>
      </c>
    </row>
    <row r="8" spans="1:18" ht="15.75" customHeight="1" x14ac:dyDescent="0.2">
      <c r="A8" s="20">
        <v>2027</v>
      </c>
      <c r="B8" s="21">
        <v>575645448.55813956</v>
      </c>
      <c r="C8" s="21">
        <v>42376700.77387698</v>
      </c>
      <c r="D8" s="21">
        <f t="shared" si="0"/>
        <v>618022149.33201659</v>
      </c>
      <c r="E8" s="21">
        <v>0</v>
      </c>
      <c r="F8" s="21">
        <v>0</v>
      </c>
      <c r="G8" s="28">
        <v>30000000</v>
      </c>
      <c r="H8" s="21">
        <f t="shared" si="1"/>
        <v>648022149.33201659</v>
      </c>
      <c r="I8" s="22"/>
      <c r="J8" s="22">
        <f t="shared" si="3"/>
        <v>38861494.932068586</v>
      </c>
      <c r="K8" s="22">
        <f t="shared" ref="K8:K31" si="4">K7+J8</f>
        <v>85921178.247983456</v>
      </c>
      <c r="L8" s="20">
        <v>2027</v>
      </c>
      <c r="M8" s="23">
        <f>-K8*parameters!$B$7*parameters!J8/1000</f>
        <v>-1206552.7158227465</v>
      </c>
      <c r="N8" s="22">
        <f>E8*parameters!K9/1000</f>
        <v>0</v>
      </c>
      <c r="O8" s="22">
        <f>parameters!$G$7*(1-parameters!$H9)*parameters!L9/1000</f>
        <v>2529467.5864846222</v>
      </c>
      <c r="P8" s="22">
        <f>(G8+F8)*parameters!$C$7*parameters!L9/1000</f>
        <v>1500120</v>
      </c>
      <c r="Q8" s="22">
        <f>E8*parameters!$E$7*parameters!$D$7*parameters!L9/1000</f>
        <v>0</v>
      </c>
      <c r="R8" s="24">
        <f t="shared" si="2"/>
        <v>4029587.5864846222</v>
      </c>
    </row>
    <row r="9" spans="1:18" ht="15.75" customHeight="1" x14ac:dyDescent="0.2">
      <c r="A9" s="20">
        <v>2028</v>
      </c>
      <c r="B9" s="21">
        <v>575645448.55813956</v>
      </c>
      <c r="C9" s="21">
        <v>42376700.77387698</v>
      </c>
      <c r="D9" s="21">
        <f t="shared" si="0"/>
        <v>618022149.33201659</v>
      </c>
      <c r="E9" s="21">
        <v>0</v>
      </c>
      <c r="F9" s="21">
        <v>0</v>
      </c>
      <c r="G9" s="28">
        <v>30000000</v>
      </c>
      <c r="H9" s="21">
        <f t="shared" si="1"/>
        <v>648022149.33201659</v>
      </c>
      <c r="I9" s="22"/>
      <c r="J9" s="22">
        <f t="shared" si="3"/>
        <v>0</v>
      </c>
      <c r="K9" s="22">
        <f t="shared" si="4"/>
        <v>85921178.247983456</v>
      </c>
      <c r="L9" s="20">
        <v>2028</v>
      </c>
      <c r="M9" s="23">
        <f>-K9*parameters!$B$7*parameters!J9/1000</f>
        <v>-1206552.7158227465</v>
      </c>
      <c r="N9" s="22">
        <f>E9*parameters!K10/1000</f>
        <v>0</v>
      </c>
      <c r="O9" s="22">
        <f>parameters!$G$7*(1-parameters!$H10)*parameters!L10/1000</f>
        <v>2669993.5635115458</v>
      </c>
      <c r="P9" s="22">
        <f>(G9+F9)*parameters!$C$7*parameters!L10/1000</f>
        <v>1583460</v>
      </c>
      <c r="Q9" s="22">
        <f>E9*parameters!$E$7*parameters!$D$7*parameters!L10/1000</f>
        <v>0</v>
      </c>
      <c r="R9" s="24">
        <f t="shared" si="2"/>
        <v>4253453.5635115458</v>
      </c>
    </row>
    <row r="10" spans="1:18" ht="15.75" customHeight="1" x14ac:dyDescent="0.2">
      <c r="A10" s="20">
        <v>2029</v>
      </c>
      <c r="B10" s="21">
        <v>561166692.4358393</v>
      </c>
      <c r="C10" s="21">
        <v>41310857.350849107</v>
      </c>
      <c r="D10" s="21">
        <f t="shared" si="0"/>
        <v>602477549.78668845</v>
      </c>
      <c r="E10" s="21">
        <v>0</v>
      </c>
      <c r="F10" s="21">
        <v>0</v>
      </c>
      <c r="G10" s="28">
        <v>36000000</v>
      </c>
      <c r="H10" s="21">
        <f t="shared" si="1"/>
        <v>638477549.78668845</v>
      </c>
      <c r="I10" s="22"/>
      <c r="J10" s="22">
        <f t="shared" si="3"/>
        <v>15544599.54532814</v>
      </c>
      <c r="K10" s="22">
        <f t="shared" si="4"/>
        <v>101465777.7933116</v>
      </c>
      <c r="L10" s="20">
        <v>2029</v>
      </c>
      <c r="M10" s="23">
        <f>-K10*parameters!$B$7*parameters!J10/1000</f>
        <v>-1424838.5817784183</v>
      </c>
      <c r="N10" s="22">
        <f>E10*parameters!K11/1000</f>
        <v>0</v>
      </c>
      <c r="O10" s="22">
        <f>parameters!$G$7*(1-parameters!$H11)*parameters!L11/1000</f>
        <v>3142773.992218344</v>
      </c>
      <c r="P10" s="22">
        <f>(G10+F10)*parameters!$C$7*parameters!L11/1000</f>
        <v>2000160</v>
      </c>
      <c r="Q10" s="22">
        <f>E10*parameters!$E$7*parameters!$D$7*parameters!L11/1000</f>
        <v>0</v>
      </c>
      <c r="R10" s="24">
        <f t="shared" si="2"/>
        <v>5142933.9922183435</v>
      </c>
    </row>
    <row r="11" spans="1:18" ht="15.75" customHeight="1" x14ac:dyDescent="0.2">
      <c r="A11" s="20">
        <v>2030</v>
      </c>
      <c r="B11" s="21">
        <v>429405238.79139549</v>
      </c>
      <c r="C11" s="21">
        <v>41310857.350849107</v>
      </c>
      <c r="D11" s="21">
        <f t="shared" si="0"/>
        <v>470716096.14224458</v>
      </c>
      <c r="E11" s="21">
        <v>57598122.732788421</v>
      </c>
      <c r="F11" s="21">
        <v>57598122.732788444</v>
      </c>
      <c r="G11" s="28">
        <v>36000000</v>
      </c>
      <c r="H11" s="21">
        <f t="shared" si="1"/>
        <v>621912341.60782146</v>
      </c>
      <c r="I11" s="22"/>
      <c r="J11" s="22">
        <f t="shared" si="3"/>
        <v>131761453.64444387</v>
      </c>
      <c r="K11" s="22">
        <f t="shared" si="4"/>
        <v>233227231.43775547</v>
      </c>
      <c r="L11" s="20">
        <v>2030</v>
      </c>
      <c r="M11" s="23">
        <f>-K11*parameters!$B$7*parameters!J11/1000</f>
        <v>-3275105.8031684812</v>
      </c>
      <c r="N11" s="22">
        <f>E11*parameters!K12/1000</f>
        <v>4976477.8041129196</v>
      </c>
      <c r="O11" s="22">
        <f>parameters!$G$7*(1-parameters!$H12)*parameters!L12/1000</f>
        <v>6028492.1852263892</v>
      </c>
      <c r="P11" s="22">
        <f>(G11+F11)*parameters!$C$7*parameters!L12/1000</f>
        <v>5460327.2839854127</v>
      </c>
      <c r="Q11" s="22">
        <f>E11*parameters!$E$7*parameters!$D$7*parameters!L12/1000</f>
        <v>5039634.1456894213</v>
      </c>
      <c r="R11" s="24">
        <f t="shared" si="2"/>
        <v>16528453.614901222</v>
      </c>
    </row>
    <row r="12" spans="1:18" ht="15.75" customHeight="1" x14ac:dyDescent="0.2">
      <c r="A12" s="20">
        <v>2031</v>
      </c>
      <c r="B12" s="21">
        <v>429405238.79139543</v>
      </c>
      <c r="C12" s="21">
        <v>41310857.350849107</v>
      </c>
      <c r="D12" s="21">
        <f t="shared" si="0"/>
        <v>470716096.14224452</v>
      </c>
      <c r="E12" s="21">
        <v>57598122.732788421</v>
      </c>
      <c r="F12" s="21">
        <v>57598122.732788444</v>
      </c>
      <c r="G12" s="28">
        <v>36000000</v>
      </c>
      <c r="H12" s="21">
        <f t="shared" si="1"/>
        <v>621912341.60782146</v>
      </c>
      <c r="I12" s="22"/>
      <c r="J12" s="22">
        <f t="shared" si="3"/>
        <v>0</v>
      </c>
      <c r="K12" s="22">
        <f t="shared" si="4"/>
        <v>233227231.43775547</v>
      </c>
      <c r="L12" s="20">
        <v>2031</v>
      </c>
      <c r="M12" s="23">
        <f>-K12*parameters!$B$7*parameters!J12/1000</f>
        <v>-3275105.8031684812</v>
      </c>
      <c r="N12" s="22">
        <f>E12*parameters!K13/1000</f>
        <v>4792643.603730361</v>
      </c>
      <c r="O12" s="22">
        <f>parameters!$G$7*(1-parameters!$H13)*parameters!L13/1000</f>
        <v>6028492.1852263892</v>
      </c>
      <c r="P12" s="22">
        <f>(G12+F12)*parameters!$C$7*parameters!L13/1000</f>
        <v>5460327.2839854127</v>
      </c>
      <c r="Q12" s="22">
        <f>E12*parameters!$E$7*parameters!$D$7*parameters!L13/1000</f>
        <v>5039634.1456894213</v>
      </c>
      <c r="R12" s="24">
        <f t="shared" si="2"/>
        <v>16528453.614901222</v>
      </c>
    </row>
    <row r="13" spans="1:18" ht="15.75" customHeight="1" x14ac:dyDescent="0.2">
      <c r="A13" s="20">
        <v>2032</v>
      </c>
      <c r="B13" s="21">
        <v>429405238.79139543</v>
      </c>
      <c r="C13" s="21">
        <v>41310857.350849107</v>
      </c>
      <c r="D13" s="21">
        <f t="shared" si="0"/>
        <v>470716096.14224452</v>
      </c>
      <c r="E13" s="21">
        <v>80627233.223800838</v>
      </c>
      <c r="F13" s="21">
        <v>34554528.524486057</v>
      </c>
      <c r="G13" s="28">
        <v>36000000</v>
      </c>
      <c r="H13" s="21">
        <f t="shared" si="1"/>
        <v>621897857.89053142</v>
      </c>
      <c r="I13" s="22"/>
      <c r="J13" s="22">
        <f t="shared" si="3"/>
        <v>0</v>
      </c>
      <c r="K13" s="22">
        <f t="shared" si="4"/>
        <v>233227231.43775547</v>
      </c>
      <c r="L13" s="20">
        <v>2032</v>
      </c>
      <c r="M13" s="23">
        <f>-K13*parameters!$B$7*parameters!J13/1000</f>
        <v>-3275105.8031684812</v>
      </c>
      <c r="N13" s="22">
        <f>E13*parameters!K14/1000</f>
        <v>6513336.388505267</v>
      </c>
      <c r="O13" s="22">
        <f>parameters!$G$7*(1-parameters!$H14)*parameters!L14/1000</f>
        <v>6315563.2416657414</v>
      </c>
      <c r="P13" s="22">
        <f>(G13+F13)*parameters!$C$7*parameters!L14/1000</f>
        <v>4312010.5653024903</v>
      </c>
      <c r="Q13" s="22">
        <f>E13*parameters!$E$7*parameters!$D$7*parameters!L14/1000</f>
        <v>7390534.0789932562</v>
      </c>
      <c r="R13" s="24">
        <f t="shared" si="2"/>
        <v>18018107.885961488</v>
      </c>
    </row>
    <row r="14" spans="1:18" ht="15.75" customHeight="1" x14ac:dyDescent="0.2">
      <c r="A14" s="20">
        <v>2033</v>
      </c>
      <c r="B14" s="21">
        <v>355901922.11395627</v>
      </c>
      <c r="C14" s="21">
        <v>41310857.350849107</v>
      </c>
      <c r="D14" s="21">
        <f t="shared" si="0"/>
        <v>397212779.46480536</v>
      </c>
      <c r="E14" s="21">
        <v>135410185.23304209</v>
      </c>
      <c r="F14" s="21">
        <v>58032936.528446592</v>
      </c>
      <c r="G14" s="28">
        <v>36000000</v>
      </c>
      <c r="H14" s="21">
        <f t="shared" si="1"/>
        <v>626655901.22629404</v>
      </c>
      <c r="I14" s="22"/>
      <c r="J14" s="22">
        <f t="shared" si="3"/>
        <v>73503316.677439153</v>
      </c>
      <c r="K14" s="22">
        <f t="shared" si="4"/>
        <v>306730548.11519462</v>
      </c>
      <c r="L14" s="20">
        <v>2033</v>
      </c>
      <c r="M14" s="23">
        <f>-K14*parameters!$B$7*parameters!J14/1000</f>
        <v>-4307280.0373623073</v>
      </c>
      <c r="N14" s="22">
        <f>E14*parameters!K15/1000</f>
        <v>10684991.581730014</v>
      </c>
      <c r="O14" s="22">
        <f>parameters!$G$7*(1-parameters!$H15)*parameters!L15/1000</f>
        <v>8631232.3114172257</v>
      </c>
      <c r="P14" s="22">
        <f>(G14+F14)*parameters!$C$7*parameters!L15/1000</f>
        <v>6008140.4465485672</v>
      </c>
      <c r="Q14" s="22">
        <f>E14*parameters!$E$7*parameters!$D$7*parameters!L15/1000</f>
        <v>12976290.345789809</v>
      </c>
      <c r="R14" s="24">
        <f t="shared" si="2"/>
        <v>27615663.103755601</v>
      </c>
    </row>
    <row r="15" spans="1:18" ht="15.75" customHeight="1" x14ac:dyDescent="0.2">
      <c r="A15" s="20">
        <v>2034</v>
      </c>
      <c r="B15" s="21">
        <v>355901922.11395627</v>
      </c>
      <c r="C15" s="21">
        <v>41310857.350849107</v>
      </c>
      <c r="D15" s="21">
        <f t="shared" si="0"/>
        <v>397212779.46480536</v>
      </c>
      <c r="E15" s="21">
        <v>135410185.23304209</v>
      </c>
      <c r="F15" s="21">
        <v>58032936.528446592</v>
      </c>
      <c r="G15" s="28">
        <v>36000000</v>
      </c>
      <c r="H15" s="21">
        <f t="shared" si="1"/>
        <v>626655901.22629404</v>
      </c>
      <c r="I15" s="22"/>
      <c r="J15" s="22">
        <f t="shared" si="3"/>
        <v>0</v>
      </c>
      <c r="K15" s="22">
        <f t="shared" si="4"/>
        <v>306730548.11519462</v>
      </c>
      <c r="L15" s="20">
        <v>2034</v>
      </c>
      <c r="M15" s="23">
        <f>-K15*parameters!$B$7*parameters!J15/1000</f>
        <v>-4307280.0373623073</v>
      </c>
      <c r="N15" s="22">
        <f>E15*parameters!K16/1000</f>
        <v>10620671.743744316</v>
      </c>
      <c r="O15" s="22">
        <f>parameters!$G$7*(1-parameters!$H16)*parameters!L16/1000</f>
        <v>9006503.2814788409</v>
      </c>
      <c r="P15" s="22">
        <f>(G15+F15)*parameters!$C$7*parameters!L16/1000</f>
        <v>6269363.9442245914</v>
      </c>
      <c r="Q15" s="22">
        <f>E15*parameters!$E$7*parameters!$D$7*parameters!L16/1000</f>
        <v>13540476.882563278</v>
      </c>
      <c r="R15" s="24">
        <f t="shared" si="2"/>
        <v>28816344.108266711</v>
      </c>
    </row>
    <row r="16" spans="1:18" ht="15.75" customHeight="1" x14ac:dyDescent="0.2">
      <c r="A16" s="20">
        <v>2035</v>
      </c>
      <c r="B16" s="21">
        <v>304166351.35518748</v>
      </c>
      <c r="C16" s="21">
        <v>0</v>
      </c>
      <c r="D16" s="21">
        <f t="shared" si="0"/>
        <v>304166351.35518748</v>
      </c>
      <c r="E16" s="21">
        <v>204758865.48552209</v>
      </c>
      <c r="F16" s="21">
        <v>87753799.493795186</v>
      </c>
      <c r="G16" s="28">
        <v>36000000</v>
      </c>
      <c r="H16" s="21">
        <f t="shared" si="1"/>
        <v>632679016.33450472</v>
      </c>
      <c r="I16" s="22"/>
      <c r="J16" s="22">
        <f t="shared" si="3"/>
        <v>93046428.109617889</v>
      </c>
      <c r="K16" s="22">
        <f t="shared" si="4"/>
        <v>399776976.22481251</v>
      </c>
      <c r="L16" s="20">
        <v>2035</v>
      </c>
      <c r="M16" s="23">
        <f>-K16*parameters!$B$7*parameters!J16/1000</f>
        <v>-5613889.4533697078</v>
      </c>
      <c r="N16" s="22">
        <f>E16*parameters!K17/1000</f>
        <v>15856868.490504192</v>
      </c>
      <c r="O16" s="22">
        <f>parameters!$G$7*(1-parameters!$H17)*parameters!L17/1000</f>
        <v>10934702.66700075</v>
      </c>
      <c r="P16" s="22">
        <f>(G16+F16)*parameters!$C$7*parameters!L17/1000</f>
        <v>8594701.3748440761</v>
      </c>
      <c r="Q16" s="22">
        <f>E16*parameters!$E$7*parameters!$D$7*parameters!L17/1000</f>
        <v>21328195.326135695</v>
      </c>
      <c r="R16" s="24">
        <f t="shared" si="2"/>
        <v>40857599.367980525</v>
      </c>
    </row>
    <row r="17" spans="1:18" ht="15.75" customHeight="1" x14ac:dyDescent="0.2">
      <c r="A17" s="20">
        <v>2036</v>
      </c>
      <c r="B17" s="21">
        <v>243092507.5577203</v>
      </c>
      <c r="C17" s="21">
        <v>0</v>
      </c>
      <c r="D17" s="21">
        <f t="shared" si="0"/>
        <v>243092507.5577203</v>
      </c>
      <c r="E17" s="21">
        <v>250277974.07839319</v>
      </c>
      <c r="F17" s="21">
        <v>107261988.8907399</v>
      </c>
      <c r="G17" s="28">
        <v>36000000</v>
      </c>
      <c r="H17" s="21">
        <f t="shared" si="1"/>
        <v>636632470.52685344</v>
      </c>
      <c r="I17" s="22"/>
      <c r="J17" s="22">
        <f t="shared" si="3"/>
        <v>61073843.797467172</v>
      </c>
      <c r="K17" s="22">
        <f t="shared" si="4"/>
        <v>460850820.02227968</v>
      </c>
      <c r="L17" s="20">
        <v>2036</v>
      </c>
      <c r="M17" s="23">
        <f>-K17*parameters!$B$7*parameters!J17/1000</f>
        <v>-6471522.1535043539</v>
      </c>
      <c r="N17" s="22">
        <f>E17*parameters!K18/1000</f>
        <v>19119152.404065166</v>
      </c>
      <c r="O17" s="22">
        <f>parameters!$G$7*(1-parameters!$H18)*parameters!L18/1000</f>
        <v>12768522.527117943</v>
      </c>
      <c r="P17" s="22">
        <f>(G17+F17)*parameters!$C$7*parameters!L18/1000</f>
        <v>9949545.1284618881</v>
      </c>
      <c r="Q17" s="22">
        <f>E17*parameters!$E$7*parameters!$D$7*parameters!L18/1000</f>
        <v>26069579.474940632</v>
      </c>
      <c r="R17" s="24">
        <f t="shared" si="2"/>
        <v>48787647.130520463</v>
      </c>
    </row>
    <row r="18" spans="1:18" ht="15.75" customHeight="1" x14ac:dyDescent="0.2">
      <c r="A18" s="20">
        <v>2037</v>
      </c>
      <c r="B18" s="21">
        <v>189701399.37109521</v>
      </c>
      <c r="C18" s="21">
        <v>0</v>
      </c>
      <c r="D18" s="21">
        <f t="shared" si="0"/>
        <v>189701399.37109521</v>
      </c>
      <c r="E18" s="21">
        <v>290071042.6054064</v>
      </c>
      <c r="F18" s="21">
        <v>124316161.1166027</v>
      </c>
      <c r="G18" s="28">
        <v>36000000</v>
      </c>
      <c r="H18" s="21">
        <f t="shared" si="1"/>
        <v>640088603.09310424</v>
      </c>
      <c r="I18" s="22"/>
      <c r="J18" s="22">
        <f t="shared" si="3"/>
        <v>53391108.186625093</v>
      </c>
      <c r="K18" s="22">
        <f t="shared" si="4"/>
        <v>514241928.20890474</v>
      </c>
      <c r="L18" s="20">
        <v>2037</v>
      </c>
      <c r="M18" s="23">
        <f>-K18*parameters!$B$7*parameters!J18/1000</f>
        <v>-7221269.6301675998</v>
      </c>
      <c r="N18" s="22">
        <f>E18*parameters!K19/1000</f>
        <v>20749747.614136595</v>
      </c>
      <c r="O18" s="22">
        <f>parameters!$G$7*(1-parameters!$H19)*parameters!L19/1000</f>
        <v>14369603.761662271</v>
      </c>
      <c r="P18" s="22">
        <f>(G18+F18)*parameters!$C$7*parameters!L19/1000</f>
        <v>11133957.38954806</v>
      </c>
      <c r="Q18" s="22">
        <f>E18*parameters!$E$7*parameters!$D$7*parameters!L19/1000</f>
        <v>30214524.975385647</v>
      </c>
      <c r="R18" s="24">
        <f t="shared" si="2"/>
        <v>55718086.126595974</v>
      </c>
    </row>
    <row r="19" spans="1:18" ht="15.75" customHeight="1" x14ac:dyDescent="0.2">
      <c r="A19" s="20">
        <v>2038</v>
      </c>
      <c r="B19" s="21">
        <v>189701399.37109521</v>
      </c>
      <c r="C19" s="21">
        <v>0</v>
      </c>
      <c r="D19" s="21">
        <f t="shared" si="0"/>
        <v>189701399.37109521</v>
      </c>
      <c r="E19" s="21">
        <v>290071042.6054064</v>
      </c>
      <c r="F19" s="21">
        <v>124316161.1166027</v>
      </c>
      <c r="G19" s="28">
        <v>36000000</v>
      </c>
      <c r="H19" s="21">
        <f t="shared" si="1"/>
        <v>640088603.09310424</v>
      </c>
      <c r="I19" s="22"/>
      <c r="J19" s="22">
        <f t="shared" si="3"/>
        <v>0</v>
      </c>
      <c r="K19" s="22">
        <f t="shared" si="4"/>
        <v>514241928.20890474</v>
      </c>
      <c r="L19" s="20">
        <v>2038</v>
      </c>
      <c r="M19" s="23">
        <f>-K19*parameters!$B$7*parameters!J19/1000</f>
        <v>-7221269.6301675998</v>
      </c>
      <c r="N19" s="22">
        <f>E19*parameters!K20/1000</f>
        <v>19852946.574555166</v>
      </c>
      <c r="O19" s="22">
        <f>parameters!$G$7*(1-parameters!$H20)*parameters!L20/1000</f>
        <v>14369603.761662271</v>
      </c>
      <c r="P19" s="22">
        <f>(G19+F19)*parameters!$C$7*parameters!L20/1000</f>
        <v>11133957.38954806</v>
      </c>
      <c r="Q19" s="22">
        <f>E19*parameters!$E$7*parameters!$D$7*parameters!L20/1000</f>
        <v>30214524.975385647</v>
      </c>
      <c r="R19" s="24">
        <f t="shared" si="2"/>
        <v>55718086.126595974</v>
      </c>
    </row>
    <row r="20" spans="1:18" ht="15.75" customHeight="1" x14ac:dyDescent="0.2">
      <c r="A20" s="20">
        <v>2039</v>
      </c>
      <c r="B20" s="21">
        <v>189701399.37109521</v>
      </c>
      <c r="C20" s="21">
        <v>0</v>
      </c>
      <c r="D20" s="21">
        <f t="shared" si="0"/>
        <v>189701399.37109521</v>
      </c>
      <c r="E20" s="21">
        <v>290071042.6054064</v>
      </c>
      <c r="F20" s="21">
        <v>124316161.1166027</v>
      </c>
      <c r="G20" s="28">
        <v>36000000</v>
      </c>
      <c r="H20" s="21">
        <f t="shared" si="1"/>
        <v>640088603.09310424</v>
      </c>
      <c r="I20" s="22"/>
      <c r="J20" s="22">
        <f t="shared" si="3"/>
        <v>0</v>
      </c>
      <c r="K20" s="22">
        <f t="shared" si="4"/>
        <v>514241928.20890474</v>
      </c>
      <c r="L20" s="20">
        <v>2039</v>
      </c>
      <c r="M20" s="23">
        <f>-K20*parameters!$B$7*parameters!J20/1000</f>
        <v>-7221269.6301675998</v>
      </c>
      <c r="N20" s="22">
        <f>E20*parameters!K21/1000</f>
        <v>18997236.998869218</v>
      </c>
      <c r="O20" s="22">
        <f>parameters!$G$7*(1-parameters!$H21)*parameters!L21/1000</f>
        <v>14369603.761662271</v>
      </c>
      <c r="P20" s="22">
        <f>(G20+F20)*parameters!$C$7*parameters!L21/1000</f>
        <v>11133957.38954806</v>
      </c>
      <c r="Q20" s="22">
        <f>E20*parameters!$E$7*parameters!$D$7*parameters!L21/1000</f>
        <v>30214524.975385647</v>
      </c>
      <c r="R20" s="24">
        <f t="shared" si="2"/>
        <v>55718086.126595974</v>
      </c>
    </row>
    <row r="21" spans="1:18" ht="15.75" customHeight="1" x14ac:dyDescent="0.2">
      <c r="A21" s="20">
        <v>2040</v>
      </c>
      <c r="B21" s="21">
        <v>142828978.20823699</v>
      </c>
      <c r="C21" s="21">
        <v>0</v>
      </c>
      <c r="D21" s="21">
        <f t="shared" si="0"/>
        <v>142828978.20823699</v>
      </c>
      <c r="E21" s="21">
        <v>325005651.20804048</v>
      </c>
      <c r="F21" s="21">
        <v>139288136.23201731</v>
      </c>
      <c r="G21" s="28">
        <v>36000000</v>
      </c>
      <c r="H21" s="21">
        <f t="shared" si="1"/>
        <v>643122765.64829481</v>
      </c>
      <c r="I21" s="22"/>
      <c r="J21" s="22">
        <f t="shared" si="3"/>
        <v>46872421.162858218</v>
      </c>
      <c r="K21" s="22">
        <f t="shared" si="4"/>
        <v>561114349.37176299</v>
      </c>
      <c r="L21" s="20">
        <v>2040</v>
      </c>
      <c r="M21" s="23">
        <f>-K21*parameters!$B$7*parameters!J21/1000</f>
        <v>-7879478.0975609282</v>
      </c>
      <c r="N21" s="22">
        <f>E21*parameters!K22/1000</f>
        <v>20372436.486538503</v>
      </c>
      <c r="O21" s="22">
        <f>parameters!$G$7*(1-parameters!$H22)*parameters!L22/1000</f>
        <v>15776067.352408607</v>
      </c>
      <c r="P21" s="22">
        <f>(G21+F21)*parameters!$C$7*parameters!L22/1000</f>
        <v>12173761.061313603</v>
      </c>
      <c r="Q21" s="22">
        <f>E21*parameters!$E$7*parameters!$D$7*parameters!L22/1000</f>
        <v>33853401.143957518</v>
      </c>
      <c r="R21" s="24">
        <f t="shared" si="2"/>
        <v>61803229.557679728</v>
      </c>
    </row>
    <row r="22" spans="1:18" ht="15.75" customHeight="1" x14ac:dyDescent="0.2">
      <c r="A22" s="20">
        <v>2041</v>
      </c>
      <c r="B22" s="21">
        <v>142828978.20823699</v>
      </c>
      <c r="C22" s="21">
        <v>0</v>
      </c>
      <c r="D22" s="21">
        <f t="shared" si="0"/>
        <v>142828978.20823699</v>
      </c>
      <c r="E22" s="21">
        <v>325005651.20804048</v>
      </c>
      <c r="F22" s="21">
        <v>139288136.23201731</v>
      </c>
      <c r="G22" s="28">
        <v>36000000</v>
      </c>
      <c r="H22" s="21">
        <f t="shared" si="1"/>
        <v>643122765.64829481</v>
      </c>
      <c r="I22" s="22"/>
      <c r="J22" s="22">
        <f t="shared" si="3"/>
        <v>0</v>
      </c>
      <c r="K22" s="22">
        <f t="shared" si="4"/>
        <v>561114349.37176299</v>
      </c>
      <c r="L22" s="20">
        <v>2041</v>
      </c>
      <c r="M22" s="23">
        <f>-K22*parameters!$B$7*parameters!J22/1000</f>
        <v>-7879478.0975609282</v>
      </c>
      <c r="N22" s="22">
        <f>E22*parameters!K23/1000</f>
        <v>19500339.072482429</v>
      </c>
      <c r="O22" s="22">
        <f>parameters!$G$7*(1-parameters!$H23)*parameters!L23/1000</f>
        <v>15776067.352408607</v>
      </c>
      <c r="P22" s="22">
        <f>(G22+F22)*parameters!$C$7*parameters!L23/1000</f>
        <v>12173761.061313603</v>
      </c>
      <c r="Q22" s="22">
        <f>E22*parameters!$E$7*parameters!$D$7*parameters!L23/1000</f>
        <v>33853401.143957518</v>
      </c>
      <c r="R22" s="24">
        <f t="shared" si="2"/>
        <v>61803229.557679728</v>
      </c>
    </row>
    <row r="23" spans="1:18" ht="15.75" customHeight="1" x14ac:dyDescent="0.2">
      <c r="A23" s="20">
        <v>2042</v>
      </c>
      <c r="B23" s="21">
        <v>91093407.449468255</v>
      </c>
      <c r="C23" s="21">
        <v>0</v>
      </c>
      <c r="D23" s="21">
        <f t="shared" si="0"/>
        <v>91093407.449468255</v>
      </c>
      <c r="E23" s="21">
        <v>363564826.74138433</v>
      </c>
      <c r="F23" s="21">
        <v>155813497.17487901</v>
      </c>
      <c r="G23" s="28">
        <v>36000000</v>
      </c>
      <c r="H23" s="21">
        <f t="shared" si="1"/>
        <v>646471731.3657316</v>
      </c>
      <c r="I23" s="22"/>
      <c r="J23" s="22">
        <f t="shared" si="3"/>
        <v>51735570.758768737</v>
      </c>
      <c r="K23" s="22">
        <f t="shared" si="4"/>
        <v>612849920.13053179</v>
      </c>
      <c r="L23" s="20">
        <v>2042</v>
      </c>
      <c r="M23" s="23">
        <f>-K23*parameters!$B$7*parameters!J23/1000</f>
        <v>-8605977.6018330008</v>
      </c>
      <c r="N23" s="22">
        <f>E23*parameters!K24/1000</f>
        <v>20883770.80128577</v>
      </c>
      <c r="O23" s="22">
        <f>parameters!$G$7*(1-parameters!$H24)*parameters!L24/1000</f>
        <v>17328995.767868895</v>
      </c>
      <c r="P23" s="22">
        <f>(G23+F23)*parameters!$C$7*parameters!L24/1000</f>
        <v>13321447.378795348</v>
      </c>
      <c r="Q23" s="22">
        <f>E23*parameters!$E$7*parameters!$D$7*parameters!L24/1000</f>
        <v>37869821.265449449</v>
      </c>
      <c r="R23" s="24">
        <f t="shared" si="2"/>
        <v>68520264.412113696</v>
      </c>
    </row>
    <row r="24" spans="1:18" ht="15.75" customHeight="1" x14ac:dyDescent="0.2">
      <c r="A24" s="20">
        <v>2043</v>
      </c>
      <c r="B24" s="21">
        <v>91093407.44946824</v>
      </c>
      <c r="C24" s="21">
        <v>0</v>
      </c>
      <c r="D24" s="21">
        <f t="shared" si="0"/>
        <v>91093407.44946824</v>
      </c>
      <c r="E24" s="21">
        <v>363564826.74138433</v>
      </c>
      <c r="F24" s="21">
        <v>155813497.17487901</v>
      </c>
      <c r="G24" s="28">
        <v>36000000</v>
      </c>
      <c r="H24" s="21">
        <f t="shared" si="1"/>
        <v>646471731.3657316</v>
      </c>
      <c r="I24" s="22"/>
      <c r="J24" s="22">
        <f t="shared" si="3"/>
        <v>0</v>
      </c>
      <c r="K24" s="22">
        <f t="shared" si="4"/>
        <v>612849920.13053179</v>
      </c>
      <c r="L24" s="20">
        <v>2043</v>
      </c>
      <c r="M24" s="23">
        <f>-K24*parameters!$B$7*parameters!J24/1000</f>
        <v>-8605977.6018330008</v>
      </c>
      <c r="N24" s="22">
        <f>E24*parameters!K25/1000</f>
        <v>19996065.470776137</v>
      </c>
      <c r="O24" s="22">
        <f>parameters!$G$7*(1-parameters!$H25)*parameters!L25/1000</f>
        <v>17328995.767868895</v>
      </c>
      <c r="P24" s="22">
        <f>(G24+F24)*parameters!$C$7*parameters!L25/1000</f>
        <v>13321447.378795348</v>
      </c>
      <c r="Q24" s="22">
        <f>E24*parameters!$E$7*parameters!$D$7*parameters!L25/1000</f>
        <v>37869821.265449449</v>
      </c>
      <c r="R24" s="24">
        <f t="shared" si="2"/>
        <v>68520264.412113696</v>
      </c>
    </row>
    <row r="25" spans="1:18" ht="15.75" customHeight="1" x14ac:dyDescent="0.2">
      <c r="A25" s="20">
        <v>2044</v>
      </c>
      <c r="B25" s="21">
        <v>41892874.176313333</v>
      </c>
      <c r="C25" s="21">
        <v>0</v>
      </c>
      <c r="D25" s="21">
        <f t="shared" si="0"/>
        <v>41892874.176313333</v>
      </c>
      <c r="E25" s="21">
        <v>400234606.75907463</v>
      </c>
      <c r="F25" s="21">
        <v>171529117.18246049</v>
      </c>
      <c r="G25" s="28">
        <v>36000000</v>
      </c>
      <c r="H25" s="21">
        <f t="shared" si="1"/>
        <v>649656598.1178484</v>
      </c>
      <c r="I25" s="22"/>
      <c r="J25" s="22">
        <f t="shared" si="3"/>
        <v>49200533.273154907</v>
      </c>
      <c r="K25" s="22">
        <f t="shared" si="4"/>
        <v>662050453.40368664</v>
      </c>
      <c r="L25" s="20">
        <v>2044</v>
      </c>
      <c r="M25" s="23">
        <f>-K25*parameters!$B$7*parameters!J25/1000</f>
        <v>-9296878.7073709201</v>
      </c>
      <c r="N25" s="22">
        <f>E25*parameters!K26/1000</f>
        <v>21079023.956759952</v>
      </c>
      <c r="O25" s="22">
        <f>parameters!$G$7*(1-parameters!$H26)*parameters!L26/1000</f>
        <v>18805682.219779458</v>
      </c>
      <c r="P25" s="22">
        <f>(G25+F25)*parameters!$C$7*parameters!L26/1000</f>
        <v>14412897.188321883</v>
      </c>
      <c r="Q25" s="22">
        <f>E25*parameters!$E$7*parameters!$D$7*parameters!L26/1000</f>
        <v>41689437.226542108</v>
      </c>
      <c r="R25" s="24">
        <f t="shared" si="2"/>
        <v>74908016.63464345</v>
      </c>
    </row>
    <row r="26" spans="1:18" ht="15.75" customHeight="1" x14ac:dyDescent="0.2">
      <c r="A26" s="20">
        <v>2045</v>
      </c>
      <c r="B26" s="21">
        <v>41892874.176313333</v>
      </c>
      <c r="C26" s="21">
        <v>0</v>
      </c>
      <c r="D26" s="21">
        <f t="shared" si="0"/>
        <v>41892874.176313333</v>
      </c>
      <c r="E26" s="21">
        <v>400234606.75907463</v>
      </c>
      <c r="F26" s="21">
        <v>171529117.18246049</v>
      </c>
      <c r="G26" s="28">
        <v>36000000</v>
      </c>
      <c r="H26" s="21">
        <f t="shared" si="1"/>
        <v>649656598.1178484</v>
      </c>
      <c r="I26" s="22"/>
      <c r="J26" s="22">
        <f t="shared" si="3"/>
        <v>0</v>
      </c>
      <c r="K26" s="22">
        <f t="shared" si="4"/>
        <v>662050453.40368664</v>
      </c>
      <c r="L26" s="20">
        <v>2045</v>
      </c>
      <c r="M26" s="23">
        <f>-K26*parameters!$B$7*parameters!J26/1000</f>
        <v>-9296878.7073709201</v>
      </c>
      <c r="N26" s="22">
        <f>E26*parameters!K27/1000</f>
        <v>20188501.956721008</v>
      </c>
      <c r="O26" s="22">
        <f>parameters!$G$7*(1-parameters!$H27)*parameters!L27/1000</f>
        <v>18805682.219779458</v>
      </c>
      <c r="P26" s="22">
        <f>(G26+F26)*parameters!$C$7*parameters!L27/1000</f>
        <v>14412897.188321883</v>
      </c>
      <c r="Q26" s="22">
        <f>E26*parameters!$E$7*parameters!$D$7*parameters!L27/1000</f>
        <v>41689437.226542108</v>
      </c>
      <c r="R26" s="24">
        <f t="shared" si="2"/>
        <v>74908016.63464345</v>
      </c>
    </row>
    <row r="27" spans="1:18" ht="15.75" customHeight="1" x14ac:dyDescent="0.2">
      <c r="A27" s="20">
        <v>2046</v>
      </c>
      <c r="B27" s="21">
        <v>0</v>
      </c>
      <c r="C27" s="21">
        <v>0</v>
      </c>
      <c r="D27" s="21">
        <f t="shared" si="0"/>
        <v>0</v>
      </c>
      <c r="E27" s="21">
        <v>431457895.98290062</v>
      </c>
      <c r="F27" s="21">
        <v>184910526.84981459</v>
      </c>
      <c r="G27" s="28">
        <v>36000000</v>
      </c>
      <c r="H27" s="21">
        <f t="shared" si="1"/>
        <v>652368422.83271527</v>
      </c>
      <c r="I27" s="22"/>
      <c r="J27" s="22">
        <f t="shared" si="3"/>
        <v>41892874.176313333</v>
      </c>
      <c r="K27" s="22">
        <f t="shared" si="4"/>
        <v>703943327.57999992</v>
      </c>
      <c r="L27" s="20">
        <v>2046</v>
      </c>
      <c r="M27" s="23">
        <f>-K27*parameters!$B$7*parameters!J27/1000</f>
        <v>-9885161.6213361677</v>
      </c>
      <c r="N27" s="22">
        <f>E27*parameters!K28/1000</f>
        <v>20846608.779100131</v>
      </c>
      <c r="O27" s="22">
        <f>parameters!$G$7*(1-parameters!$H28)*parameters!L28/1000</f>
        <v>20063674.618350003</v>
      </c>
      <c r="P27" s="22">
        <f>(G27+F27)*parameters!$C$7*parameters!L28/1000</f>
        <v>15342236.089719623</v>
      </c>
      <c r="Q27" s="22">
        <f>E27*parameters!$E$7*parameters!$D$7*parameters!L28/1000</f>
        <v>44941733.090318888</v>
      </c>
      <c r="R27" s="24">
        <f t="shared" si="2"/>
        <v>80347643.798388511</v>
      </c>
    </row>
    <row r="28" spans="1:18" ht="15.75" customHeight="1" x14ac:dyDescent="0.2">
      <c r="A28" s="20">
        <v>2047</v>
      </c>
      <c r="B28" s="21">
        <v>0</v>
      </c>
      <c r="C28" s="21">
        <v>0</v>
      </c>
      <c r="D28" s="21">
        <f t="shared" si="0"/>
        <v>0</v>
      </c>
      <c r="E28" s="21">
        <v>431457895.98290062</v>
      </c>
      <c r="F28" s="21">
        <v>184910526.84981459</v>
      </c>
      <c r="G28" s="28">
        <v>36000000</v>
      </c>
      <c r="H28" s="21">
        <f t="shared" si="1"/>
        <v>652368422.83271527</v>
      </c>
      <c r="I28" s="22"/>
      <c r="J28" s="22">
        <f t="shared" si="3"/>
        <v>0</v>
      </c>
      <c r="K28" s="22">
        <f t="shared" si="4"/>
        <v>703943327.57999992</v>
      </c>
      <c r="L28" s="20">
        <v>2047</v>
      </c>
      <c r="M28" s="23">
        <f>-K28*parameters!$B$7*parameters!J28/1000</f>
        <v>-9885161.6213361677</v>
      </c>
      <c r="N28" s="22">
        <f>E28*parameters!K29/1000</f>
        <v>19965714.136608727</v>
      </c>
      <c r="O28" s="22">
        <f>parameters!$G$7*(1-parameters!$H29)*parameters!L29/1000</f>
        <v>20063674.618350003</v>
      </c>
      <c r="P28" s="22">
        <f>(G28+F28)*parameters!$C$7*parameters!L29/1000</f>
        <v>15342236.089719623</v>
      </c>
      <c r="Q28" s="22">
        <f>E28*parameters!$E$7*parameters!$D$7*parameters!L29/1000</f>
        <v>44941733.090318888</v>
      </c>
      <c r="R28" s="24">
        <f t="shared" si="2"/>
        <v>80347643.798388511</v>
      </c>
    </row>
    <row r="29" spans="1:18" ht="15.75" customHeight="1" x14ac:dyDescent="0.2">
      <c r="A29" s="20">
        <v>2048</v>
      </c>
      <c r="B29" s="21">
        <v>0</v>
      </c>
      <c r="C29" s="21">
        <v>0</v>
      </c>
      <c r="D29" s="21">
        <f t="shared" si="0"/>
        <v>0</v>
      </c>
      <c r="E29" s="21">
        <v>431457895.98290062</v>
      </c>
      <c r="F29" s="21">
        <v>184910526.84981459</v>
      </c>
      <c r="G29" s="28">
        <v>36000000</v>
      </c>
      <c r="H29" s="21">
        <f t="shared" si="1"/>
        <v>652368422.83271527</v>
      </c>
      <c r="I29" s="22"/>
      <c r="J29" s="22">
        <f t="shared" si="3"/>
        <v>0</v>
      </c>
      <c r="K29" s="22">
        <f t="shared" si="4"/>
        <v>703943327.57999992</v>
      </c>
      <c r="L29" s="20">
        <v>2048</v>
      </c>
      <c r="M29" s="23">
        <f>-K29*parameters!$B$7*parameters!J29/1000</f>
        <v>-9885161.6213361677</v>
      </c>
      <c r="N29" s="22">
        <f>E29*parameters!K30/1000</f>
        <v>19124371.239442069</v>
      </c>
      <c r="O29" s="22">
        <f>parameters!$G$7*(1-parameters!$H30)*parameters!L30/1000</f>
        <v>20063674.618350003</v>
      </c>
      <c r="P29" s="22">
        <f>(G29+F29)*parameters!$C$7*parameters!L30/1000</f>
        <v>15342236.089719623</v>
      </c>
      <c r="Q29" s="22">
        <f>E29*parameters!$E$7*parameters!$D$7*parameters!L30/1000</f>
        <v>44941733.090318888</v>
      </c>
      <c r="R29" s="24">
        <f t="shared" si="2"/>
        <v>80347643.798388511</v>
      </c>
    </row>
    <row r="30" spans="1:18" ht="15.75" customHeight="1" x14ac:dyDescent="0.2">
      <c r="A30" s="20">
        <v>2049</v>
      </c>
      <c r="B30" s="21">
        <v>0</v>
      </c>
      <c r="C30" s="21">
        <v>0</v>
      </c>
      <c r="D30" s="21">
        <f t="shared" si="0"/>
        <v>0</v>
      </c>
      <c r="E30" s="21">
        <v>431457895.98290062</v>
      </c>
      <c r="F30" s="21">
        <v>184910526.84981459</v>
      </c>
      <c r="G30" s="28">
        <v>36000000</v>
      </c>
      <c r="H30" s="21">
        <f t="shared" si="1"/>
        <v>652368422.83271527</v>
      </c>
      <c r="I30" s="22"/>
      <c r="J30" s="22">
        <f t="shared" si="3"/>
        <v>0</v>
      </c>
      <c r="K30" s="22">
        <f t="shared" si="4"/>
        <v>703943327.57999992</v>
      </c>
      <c r="L30" s="20">
        <v>2049</v>
      </c>
      <c r="M30" s="23">
        <f>-K30*parameters!$B$7*parameters!J30/1000</f>
        <v>-9885161.6213361677</v>
      </c>
      <c r="N30" s="22">
        <f>E30*parameters!K31/1000</f>
        <v>18318981.72874767</v>
      </c>
      <c r="O30" s="22">
        <f>parameters!$G$7*(1-parameters!$H31)*parameters!L31/1000</f>
        <v>20063674.618350003</v>
      </c>
      <c r="P30" s="22">
        <f>(G30+F30)*parameters!$C$7*parameters!L31/1000</f>
        <v>15342236.089719623</v>
      </c>
      <c r="Q30" s="22">
        <f>E30*parameters!$E$7*parameters!$D$7*parameters!L31/1000</f>
        <v>44941733.090318888</v>
      </c>
      <c r="R30" s="24">
        <f t="shared" si="2"/>
        <v>80347643.798388511</v>
      </c>
    </row>
    <row r="31" spans="1:18" ht="15.75" customHeight="1" x14ac:dyDescent="0.2">
      <c r="A31" s="20">
        <v>2050</v>
      </c>
      <c r="B31" s="21">
        <v>0</v>
      </c>
      <c r="C31" s="21">
        <v>0</v>
      </c>
      <c r="D31" s="21">
        <f t="shared" si="0"/>
        <v>0</v>
      </c>
      <c r="E31" s="21">
        <v>431457895.98290068</v>
      </c>
      <c r="F31" s="21">
        <v>184910526.84981459</v>
      </c>
      <c r="G31" s="28">
        <v>36000000</v>
      </c>
      <c r="H31" s="21">
        <f t="shared" si="1"/>
        <v>652368422.83271527</v>
      </c>
      <c r="I31" s="22"/>
      <c r="J31" s="22">
        <f t="shared" si="3"/>
        <v>0</v>
      </c>
      <c r="K31" s="22">
        <f t="shared" si="4"/>
        <v>703943327.57999992</v>
      </c>
      <c r="L31" s="20">
        <v>2050</v>
      </c>
      <c r="M31" s="25">
        <f>-K31*parameters!$B$7*parameters!J31/1000</f>
        <v>-9885161.6213361677</v>
      </c>
      <c r="N31" s="26">
        <f>E31*parameters!K32/1000</f>
        <v>17549549.919104483</v>
      </c>
      <c r="O31" s="22">
        <f>parameters!$G$7*(1-parameters!$H32)*parameters!L32/1000</f>
        <v>20063674.618350003</v>
      </c>
      <c r="P31" s="22">
        <f>(G31+F31)*parameters!$C$7*parameters!L32/1000</f>
        <v>15342236.089719623</v>
      </c>
      <c r="Q31" s="22">
        <f>E31*parameters!$E$7*parameters!$D$7*parameters!L32/1000</f>
        <v>44941733.090318896</v>
      </c>
      <c r="R31" s="27">
        <f t="shared" si="2"/>
        <v>80347643.798388511</v>
      </c>
    </row>
    <row r="32" spans="1:1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1000"/>
  <sheetViews>
    <sheetView topLeftCell="F1" workbookViewId="0">
      <selection activeCell="R36" sqref="R36"/>
    </sheetView>
  </sheetViews>
  <sheetFormatPr baseColWidth="10" defaultColWidth="11.1640625" defaultRowHeight="15" customHeight="1" x14ac:dyDescent="0.2"/>
  <cols>
    <col min="1" max="1" width="10.5" customWidth="1"/>
    <col min="2" max="2" width="14.6640625" customWidth="1"/>
    <col min="3" max="3" width="13.6640625" customWidth="1"/>
    <col min="4" max="4" width="15.5" customWidth="1"/>
    <col min="5" max="6" width="14.6640625" customWidth="1"/>
    <col min="7" max="7" width="13.6640625" customWidth="1"/>
    <col min="8" max="9" width="14.6640625" customWidth="1"/>
    <col min="10" max="10" width="13.6640625" customWidth="1"/>
    <col min="11" max="11" width="14.6640625" customWidth="1"/>
    <col min="12" max="12" width="10.5" customWidth="1"/>
    <col min="13" max="18" width="14.5" customWidth="1"/>
    <col min="19" max="26" width="10.5" customWidth="1"/>
  </cols>
  <sheetData>
    <row r="1" spans="1:19" ht="15.75" customHeight="1" x14ac:dyDescent="0.2">
      <c r="B1" s="5" t="s">
        <v>8</v>
      </c>
      <c r="C1" s="5"/>
      <c r="D1" s="5"/>
      <c r="E1" s="5">
        <v>5</v>
      </c>
      <c r="F1" s="5">
        <v>6</v>
      </c>
      <c r="G1" s="5">
        <v>7</v>
      </c>
      <c r="H1" s="5">
        <v>8</v>
      </c>
      <c r="I1" s="5">
        <v>9</v>
      </c>
      <c r="J1" s="5">
        <v>10</v>
      </c>
      <c r="K1" s="5">
        <v>11</v>
      </c>
      <c r="L1" s="5">
        <v>12</v>
      </c>
      <c r="M1" s="5">
        <v>13</v>
      </c>
      <c r="N1" s="5">
        <v>14</v>
      </c>
      <c r="O1" s="5">
        <v>15</v>
      </c>
      <c r="P1" s="5">
        <v>16</v>
      </c>
      <c r="Q1" s="5">
        <v>17</v>
      </c>
      <c r="R1" s="5">
        <v>18</v>
      </c>
      <c r="S1" s="5"/>
    </row>
    <row r="2" spans="1:19" ht="15.75" customHeight="1" x14ac:dyDescent="0.2">
      <c r="A2" s="1" t="s">
        <v>9</v>
      </c>
      <c r="B2" s="5" t="s">
        <v>10</v>
      </c>
      <c r="C2" s="5"/>
      <c r="D2" s="5"/>
      <c r="E2" s="5"/>
      <c r="F2" s="5"/>
      <c r="G2" s="5"/>
      <c r="H2" s="5"/>
      <c r="I2" s="5"/>
      <c r="J2" s="5"/>
      <c r="K2" s="5"/>
      <c r="L2" s="5"/>
      <c r="M2" s="6" t="s">
        <v>11</v>
      </c>
      <c r="N2" s="7" t="s">
        <v>12</v>
      </c>
      <c r="O2" s="7" t="s">
        <v>13</v>
      </c>
      <c r="P2" s="7" t="s">
        <v>13</v>
      </c>
      <c r="Q2" s="7" t="s">
        <v>13</v>
      </c>
      <c r="R2" s="8" t="s">
        <v>13</v>
      </c>
      <c r="S2" s="5"/>
    </row>
    <row r="3" spans="1:19" ht="15.75" customHeight="1" x14ac:dyDescent="0.2"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9" t="s">
        <v>19</v>
      </c>
      <c r="H3" s="5" t="s">
        <v>20</v>
      </c>
      <c r="I3" s="5"/>
      <c r="J3" s="5" t="s">
        <v>21</v>
      </c>
      <c r="K3" s="5" t="s">
        <v>22</v>
      </c>
      <c r="L3" s="5"/>
      <c r="M3" s="10"/>
      <c r="N3" s="11"/>
      <c r="O3" s="12" t="s">
        <v>23</v>
      </c>
      <c r="P3" s="12" t="s">
        <v>24</v>
      </c>
      <c r="Q3" s="13" t="s">
        <v>25</v>
      </c>
      <c r="R3" s="14" t="s">
        <v>26</v>
      </c>
      <c r="S3" s="5"/>
    </row>
    <row r="4" spans="1:19" ht="15.75" customHeight="1" x14ac:dyDescent="0.2"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15"/>
      <c r="N4" s="5"/>
      <c r="O4" s="5"/>
      <c r="P4" s="5"/>
      <c r="Q4" s="5"/>
      <c r="R4" s="16"/>
      <c r="S4" s="5"/>
    </row>
    <row r="5" spans="1:19" ht="15.75" customHeight="1" x14ac:dyDescent="0.2">
      <c r="A5" s="1" t="s">
        <v>27</v>
      </c>
      <c r="B5" s="5" t="s">
        <v>28</v>
      </c>
      <c r="C5" s="5" t="s">
        <v>28</v>
      </c>
      <c r="D5" s="5" t="s">
        <v>28</v>
      </c>
      <c r="E5" s="5" t="s">
        <v>28</v>
      </c>
      <c r="F5" s="5" t="s">
        <v>28</v>
      </c>
      <c r="G5" s="5" t="s">
        <v>28</v>
      </c>
      <c r="H5" s="5"/>
      <c r="I5" s="5"/>
      <c r="J5" s="5" t="s">
        <v>28</v>
      </c>
      <c r="K5" s="5" t="s">
        <v>28</v>
      </c>
      <c r="L5" s="5"/>
      <c r="M5" s="17" t="s">
        <v>29</v>
      </c>
      <c r="N5" s="18" t="s">
        <v>29</v>
      </c>
      <c r="O5" s="18" t="s">
        <v>29</v>
      </c>
      <c r="P5" s="18" t="s">
        <v>29</v>
      </c>
      <c r="Q5" s="18" t="s">
        <v>29</v>
      </c>
      <c r="R5" s="19" t="s">
        <v>29</v>
      </c>
      <c r="S5" s="5"/>
    </row>
    <row r="6" spans="1:19" ht="15.75" customHeight="1" x14ac:dyDescent="0.2">
      <c r="A6" s="20">
        <v>2025</v>
      </c>
      <c r="B6" s="21">
        <v>569262679</v>
      </c>
      <c r="C6" s="21">
        <v>40865546</v>
      </c>
      <c r="D6" s="21">
        <f t="shared" ref="D6:D31" si="0">SUM(B6:C6)</f>
        <v>610128225</v>
      </c>
      <c r="E6" s="21">
        <v>0</v>
      </c>
      <c r="F6" s="21">
        <v>0</v>
      </c>
      <c r="G6" s="21">
        <v>35806400</v>
      </c>
      <c r="H6" s="21">
        <f t="shared" ref="H6:H31" si="1">SUM(D6:G6)</f>
        <v>645934625</v>
      </c>
      <c r="I6" s="22"/>
      <c r="J6" s="22"/>
      <c r="K6" s="22"/>
      <c r="L6" s="22"/>
      <c r="M6" s="23"/>
      <c r="N6" s="22">
        <f>E6*parameters!K7/1000</f>
        <v>0</v>
      </c>
      <c r="O6" s="22">
        <f>parameters!$G$7*(1-parameters!$I7)*parameters!L7/1000</f>
        <v>1819106.4987303999</v>
      </c>
      <c r="P6" s="22">
        <f>(G6+F6)*parameters!$C$7*parameters!L7/1000</f>
        <v>1690993.0464000001</v>
      </c>
      <c r="Q6" s="22">
        <f>E6*parameters!$E$7*parameters!$D$7*parameters!L7/1000</f>
        <v>0</v>
      </c>
      <c r="R6" s="24">
        <f>O6+P6+Q6</f>
        <v>3510099.5451304</v>
      </c>
      <c r="S6" s="5"/>
    </row>
    <row r="7" spans="1:19" ht="15.75" customHeight="1" x14ac:dyDescent="0.2">
      <c r="A7" s="20">
        <v>2026</v>
      </c>
      <c r="B7" s="21">
        <v>522177263</v>
      </c>
      <c r="C7" s="21">
        <v>40865546</v>
      </c>
      <c r="D7" s="21">
        <f t="shared" si="0"/>
        <v>563042809</v>
      </c>
      <c r="E7" s="21">
        <v>0</v>
      </c>
      <c r="F7" s="21">
        <v>0</v>
      </c>
      <c r="G7" s="21">
        <v>53709600</v>
      </c>
      <c r="H7" s="21">
        <f t="shared" si="1"/>
        <v>616752409</v>
      </c>
      <c r="I7" s="22"/>
      <c r="J7" s="22">
        <f t="shared" ref="J7:J31" si="2">(B6+C6)-(B7+C7)</f>
        <v>47085416</v>
      </c>
      <c r="K7" s="22">
        <f>J7</f>
        <v>47085416</v>
      </c>
      <c r="L7" s="22"/>
      <c r="M7" s="23">
        <f>-K7*parameters!$B$7*parameters!J8/1000</f>
        <v>-661199.45872340444</v>
      </c>
      <c r="N7" s="22">
        <f>E7*parameters!K8/1000</f>
        <v>0</v>
      </c>
      <c r="O7" s="22">
        <f>parameters!$G$7*(1-parameters!$I8)*parameters!L8/1000</f>
        <v>2889169.1450423994</v>
      </c>
      <c r="P7" s="22">
        <f>(G7+F7)*parameters!$C$7*parameters!L8/1000</f>
        <v>2685694.8384000002</v>
      </c>
      <c r="Q7" s="22">
        <f>E7*parameters!$E$7*parameters!$D$7*parameters!L8/1000</f>
        <v>0</v>
      </c>
      <c r="R7" s="24">
        <f>O7+P7+Q6</f>
        <v>5574863.9834423997</v>
      </c>
      <c r="S7" s="5"/>
    </row>
    <row r="8" spans="1:19" ht="15.75" customHeight="1" x14ac:dyDescent="0.2">
      <c r="A8" s="20">
        <v>2027</v>
      </c>
      <c r="B8" s="21">
        <v>518645857</v>
      </c>
      <c r="C8" s="21">
        <v>40865546</v>
      </c>
      <c r="D8" s="21">
        <f t="shared" si="0"/>
        <v>559511403</v>
      </c>
      <c r="E8" s="21">
        <v>0</v>
      </c>
      <c r="F8" s="21">
        <v>0</v>
      </c>
      <c r="G8" s="21">
        <v>55052340</v>
      </c>
      <c r="H8" s="21">
        <f t="shared" si="1"/>
        <v>614563743</v>
      </c>
      <c r="I8" s="22"/>
      <c r="J8" s="22">
        <f t="shared" si="2"/>
        <v>3531406</v>
      </c>
      <c r="K8" s="22">
        <f t="shared" ref="K8:K31" si="3">K7+J8</f>
        <v>50616822</v>
      </c>
      <c r="L8" s="22"/>
      <c r="M8" s="23">
        <f>-K8*parameters!$B$7*parameters!J8/1000</f>
        <v>-710789.41531914903</v>
      </c>
      <c r="N8" s="22">
        <f>E8*parameters!K9/1000</f>
        <v>0</v>
      </c>
      <c r="O8" s="22">
        <f>parameters!$G$7*(1-parameters!$I9)*parameters!L9/1000</f>
        <v>2961398.3736684597</v>
      </c>
      <c r="P8" s="22">
        <f>(G8+F8)*parameters!$C$7*parameters!L9/1000</f>
        <v>2752837.2093600002</v>
      </c>
      <c r="Q8" s="22">
        <f>E8*parameters!$E$7*parameters!$D$7*parameters!L9/1000</f>
        <v>0</v>
      </c>
      <c r="R8" s="24">
        <f t="shared" ref="R8:R31" si="4">O8+P8+Q8</f>
        <v>5714235.5830284599</v>
      </c>
      <c r="S8" s="5"/>
    </row>
    <row r="9" spans="1:19" ht="15.75" customHeight="1" x14ac:dyDescent="0.2">
      <c r="A9" s="20">
        <v>2028</v>
      </c>
      <c r="B9" s="21">
        <v>515114451</v>
      </c>
      <c r="C9" s="21">
        <v>40865546</v>
      </c>
      <c r="D9" s="21">
        <f t="shared" si="0"/>
        <v>555979997</v>
      </c>
      <c r="E9" s="21">
        <v>0</v>
      </c>
      <c r="F9" s="21">
        <v>0</v>
      </c>
      <c r="G9" s="21">
        <v>56395080</v>
      </c>
      <c r="H9" s="21">
        <f t="shared" si="1"/>
        <v>612375077</v>
      </c>
      <c r="I9" s="22"/>
      <c r="J9" s="22">
        <f t="shared" si="2"/>
        <v>3531406</v>
      </c>
      <c r="K9" s="22">
        <f t="shared" si="3"/>
        <v>54148228</v>
      </c>
      <c r="L9" s="22"/>
      <c r="M9" s="23">
        <f>-K9*parameters!$B$7*parameters!J9/1000</f>
        <v>-760379.37191489362</v>
      </c>
      <c r="N9" s="22">
        <f>E9*parameters!K10/1000</f>
        <v>0</v>
      </c>
      <c r="O9" s="22">
        <f>parameters!$G$7*(1-parameters!$I10)*parameters!L10/1000</f>
        <v>3202162.4690886596</v>
      </c>
      <c r="P9" s="22">
        <f>(G9+F9)*parameters!$C$7*parameters!L10/1000</f>
        <v>2976645.1125599998</v>
      </c>
      <c r="Q9" s="22">
        <f>E9*parameters!$E$7*parameters!$D$7*parameters!L10/1000</f>
        <v>0</v>
      </c>
      <c r="R9" s="24">
        <f t="shared" si="4"/>
        <v>6178807.581648659</v>
      </c>
      <c r="S9" s="5"/>
    </row>
    <row r="10" spans="1:19" ht="15.75" customHeight="1" x14ac:dyDescent="0.2">
      <c r="A10" s="20">
        <v>2029</v>
      </c>
      <c r="B10" s="21">
        <v>511583045</v>
      </c>
      <c r="C10" s="21">
        <v>40865546</v>
      </c>
      <c r="D10" s="21">
        <f t="shared" si="0"/>
        <v>552448591</v>
      </c>
      <c r="E10" s="21">
        <v>0</v>
      </c>
      <c r="F10" s="21">
        <v>0</v>
      </c>
      <c r="G10" s="21">
        <v>57737820</v>
      </c>
      <c r="H10" s="21">
        <f t="shared" si="1"/>
        <v>610186411</v>
      </c>
      <c r="I10" s="22"/>
      <c r="J10" s="22">
        <f t="shared" si="2"/>
        <v>3531406</v>
      </c>
      <c r="K10" s="22">
        <f t="shared" si="3"/>
        <v>57679634</v>
      </c>
      <c r="L10" s="22"/>
      <c r="M10" s="23">
        <f>-K10*parameters!$B$7*parameters!J10/1000</f>
        <v>-809969.32851063833</v>
      </c>
      <c r="N10" s="22">
        <f>E10*parameters!K11/1000</f>
        <v>0</v>
      </c>
      <c r="O10" s="22">
        <f>parameters!$G$7*(1-parameters!$I11)*parameters!L11/1000</f>
        <v>3450952.0343561997</v>
      </c>
      <c r="P10" s="22">
        <f>(G10+F10)*parameters!$C$7*parameters!L11/1000</f>
        <v>3207913.2792000002</v>
      </c>
      <c r="Q10" s="22">
        <f>E10*parameters!$E$7*parameters!$D$7*parameters!L11/1000</f>
        <v>0</v>
      </c>
      <c r="R10" s="24">
        <f t="shared" si="4"/>
        <v>6658865.3135561999</v>
      </c>
      <c r="S10" s="5"/>
    </row>
    <row r="11" spans="1:19" ht="15.75" customHeight="1" x14ac:dyDescent="0.2">
      <c r="A11" s="20">
        <v>2030</v>
      </c>
      <c r="B11" s="21">
        <v>508051639</v>
      </c>
      <c r="C11" s="21">
        <v>40865546</v>
      </c>
      <c r="D11" s="21">
        <f t="shared" si="0"/>
        <v>548917185</v>
      </c>
      <c r="E11" s="21">
        <v>0</v>
      </c>
      <c r="F11" s="21">
        <v>0</v>
      </c>
      <c r="G11" s="21">
        <v>59080560</v>
      </c>
      <c r="H11" s="21">
        <f t="shared" si="1"/>
        <v>607997745</v>
      </c>
      <c r="I11" s="22"/>
      <c r="J11" s="22">
        <f t="shared" si="2"/>
        <v>3531406</v>
      </c>
      <c r="K11" s="22">
        <f t="shared" si="3"/>
        <v>61211040</v>
      </c>
      <c r="L11" s="22"/>
      <c r="M11" s="23">
        <f>-K11*parameters!$B$7*parameters!J11/1000</f>
        <v>-859559.28510638303</v>
      </c>
      <c r="N11" s="22">
        <f>E11*parameters!K12/1000</f>
        <v>0</v>
      </c>
      <c r="O11" s="22">
        <f>parameters!$G$7*(1-parameters!$I12)*parameters!L12/1000</f>
        <v>3707767.0694710799</v>
      </c>
      <c r="P11" s="22">
        <f>(G11+F11)*parameters!$C$7*parameters!L12/1000</f>
        <v>3446641.7092799996</v>
      </c>
      <c r="Q11" s="22">
        <f>E11*parameters!$E$7*parameters!$D$7*parameters!L12/1000</f>
        <v>0</v>
      </c>
      <c r="R11" s="24">
        <f t="shared" si="4"/>
        <v>7154408.778751079</v>
      </c>
      <c r="S11" s="5"/>
    </row>
    <row r="12" spans="1:19" ht="15.75" customHeight="1" x14ac:dyDescent="0.2">
      <c r="A12" s="20">
        <v>2031</v>
      </c>
      <c r="B12" s="21">
        <v>496751139</v>
      </c>
      <c r="C12" s="21">
        <v>40865546</v>
      </c>
      <c r="D12" s="21">
        <f t="shared" si="0"/>
        <v>537616685</v>
      </c>
      <c r="E12" s="21">
        <v>0</v>
      </c>
      <c r="F12" s="21">
        <v>0</v>
      </c>
      <c r="G12" s="21">
        <v>63377328</v>
      </c>
      <c r="H12" s="21">
        <f t="shared" si="1"/>
        <v>600994013</v>
      </c>
      <c r="I12" s="22"/>
      <c r="J12" s="22">
        <f t="shared" si="2"/>
        <v>11300500</v>
      </c>
      <c r="K12" s="22">
        <f t="shared" si="3"/>
        <v>72511540</v>
      </c>
      <c r="L12" s="22"/>
      <c r="M12" s="23">
        <f>-K12*parameters!$B$7*parameters!J12/1000</f>
        <v>-1018247.1574468084</v>
      </c>
      <c r="N12" s="22">
        <f>E12*parameters!K13/1000</f>
        <v>0</v>
      </c>
      <c r="O12" s="22">
        <f>parameters!$G$7*(1-parameters!$I13)*parameters!L13/1000</f>
        <v>3977422.8563417038</v>
      </c>
      <c r="P12" s="22">
        <f>(G12+F12)*parameters!$C$7*parameters!L13/1000</f>
        <v>3697306.5608640001</v>
      </c>
      <c r="Q12" s="22">
        <f>E12*parameters!$E$7*parameters!$D$7*parameters!L13/1000</f>
        <v>0</v>
      </c>
      <c r="R12" s="24">
        <f t="shared" si="4"/>
        <v>7674729.4172057044</v>
      </c>
      <c r="S12" s="5"/>
    </row>
    <row r="13" spans="1:19" ht="15.75" customHeight="1" x14ac:dyDescent="0.2">
      <c r="A13" s="20">
        <v>2032</v>
      </c>
      <c r="B13" s="21">
        <v>485450639</v>
      </c>
      <c r="C13" s="21">
        <v>40865546</v>
      </c>
      <c r="D13" s="21">
        <f t="shared" si="0"/>
        <v>526316185</v>
      </c>
      <c r="E13" s="21">
        <v>0</v>
      </c>
      <c r="F13" s="21">
        <v>0</v>
      </c>
      <c r="G13" s="21">
        <v>67674096</v>
      </c>
      <c r="H13" s="21">
        <f t="shared" si="1"/>
        <v>593990281</v>
      </c>
      <c r="I13" s="22"/>
      <c r="J13" s="22">
        <f t="shared" si="2"/>
        <v>11300500</v>
      </c>
      <c r="K13" s="22">
        <f t="shared" si="3"/>
        <v>83812040</v>
      </c>
      <c r="L13" s="22"/>
      <c r="M13" s="23">
        <f>-K13*parameters!$B$7*parameters!J13/1000</f>
        <v>-1176935.029787234</v>
      </c>
      <c r="N13" s="22">
        <f>E13*parameters!K14/1000</f>
        <v>0</v>
      </c>
      <c r="O13" s="22">
        <f>parameters!$G$7*(1-parameters!$I14)*parameters!L14/1000</f>
        <v>4449320.4833652964</v>
      </c>
      <c r="P13" s="22">
        <f>(G13+F13)*parameters!$C$7*parameters!L14/1000</f>
        <v>4135970.0511359996</v>
      </c>
      <c r="Q13" s="22">
        <f>E13*parameters!$E$7*parameters!$D$7*parameters!L14/1000</f>
        <v>0</v>
      </c>
      <c r="R13" s="24">
        <f t="shared" si="4"/>
        <v>8585290.5345012955</v>
      </c>
      <c r="S13" s="5"/>
    </row>
    <row r="14" spans="1:19" ht="15.75" customHeight="1" x14ac:dyDescent="0.2">
      <c r="A14" s="20">
        <v>2033</v>
      </c>
      <c r="B14" s="21">
        <v>452961702</v>
      </c>
      <c r="C14" s="21">
        <v>40865546</v>
      </c>
      <c r="D14" s="21">
        <f t="shared" si="0"/>
        <v>493827248</v>
      </c>
      <c r="E14" s="21">
        <v>14944696</v>
      </c>
      <c r="F14" s="21">
        <v>6404870</v>
      </c>
      <c r="G14" s="21">
        <v>71970864</v>
      </c>
      <c r="H14" s="21">
        <f t="shared" si="1"/>
        <v>587147678</v>
      </c>
      <c r="I14" s="22"/>
      <c r="J14" s="22">
        <f t="shared" si="2"/>
        <v>32488937</v>
      </c>
      <c r="K14" s="22">
        <f t="shared" si="3"/>
        <v>116300977</v>
      </c>
      <c r="L14" s="22"/>
      <c r="M14" s="23">
        <f>-K14*parameters!$B$7*parameters!J14/1000</f>
        <v>-1633162.6557446809</v>
      </c>
      <c r="N14" s="22">
        <f>E14*parameters!K15/1000</f>
        <v>1179261.0037176802</v>
      </c>
      <c r="O14" s="22">
        <f>parameters!$G$7*(1-parameters!$I15)*parameters!L15/1000</f>
        <v>5500657.0333668357</v>
      </c>
      <c r="P14" s="22">
        <f>(G14+F14)*parameters!$C$7*parameters!L15/1000</f>
        <v>5007739.1481959997</v>
      </c>
      <c r="Q14" s="22">
        <f>E14*parameters!$E$7*parameters!$D$7*parameters!L15/1000</f>
        <v>1432142.7453320003</v>
      </c>
      <c r="R14" s="24">
        <f t="shared" si="4"/>
        <v>11940538.926894836</v>
      </c>
      <c r="S14" s="5"/>
    </row>
    <row r="15" spans="1:19" ht="15.75" customHeight="1" x14ac:dyDescent="0.2">
      <c r="A15" s="20">
        <v>2034</v>
      </c>
      <c r="B15" s="21">
        <v>420472765</v>
      </c>
      <c r="C15" s="21">
        <v>40865546</v>
      </c>
      <c r="D15" s="21">
        <f t="shared" si="0"/>
        <v>461338311</v>
      </c>
      <c r="E15" s="21">
        <v>29889392</v>
      </c>
      <c r="F15" s="21">
        <v>12809740</v>
      </c>
      <c r="G15" s="21">
        <v>76267632</v>
      </c>
      <c r="H15" s="21">
        <f t="shared" si="1"/>
        <v>580305075</v>
      </c>
      <c r="I15" s="22"/>
      <c r="J15" s="22">
        <f t="shared" si="2"/>
        <v>32488937</v>
      </c>
      <c r="K15" s="22">
        <f t="shared" si="3"/>
        <v>148789914</v>
      </c>
      <c r="L15" s="22"/>
      <c r="M15" s="23">
        <f>-K15*parameters!$B$7*parameters!J15/1000</f>
        <v>-2089390.2817021278</v>
      </c>
      <c r="N15" s="22">
        <f>E15*parameters!K16/1000</f>
        <v>2344324.5462353602</v>
      </c>
      <c r="O15" s="22">
        <f>parameters!$G$7*(1-parameters!$I16)*parameters!L16/1000</f>
        <v>6625827.9059639061</v>
      </c>
      <c r="P15" s="22">
        <f>(G15+F15)*parameters!$C$7*parameters!L16/1000</f>
        <v>5938966.545984</v>
      </c>
      <c r="Q15" s="22">
        <f>E15*parameters!$E$7*parameters!$D$7*parameters!L16/1000</f>
        <v>2988819.642432</v>
      </c>
      <c r="R15" s="24">
        <f t="shared" si="4"/>
        <v>15553614.094379906</v>
      </c>
      <c r="S15" s="5"/>
    </row>
    <row r="16" spans="1:19" ht="15.75" customHeight="1" x14ac:dyDescent="0.2">
      <c r="A16" s="20">
        <v>2035</v>
      </c>
      <c r="B16" s="21">
        <v>380921015</v>
      </c>
      <c r="C16" s="21">
        <v>40865546</v>
      </c>
      <c r="D16" s="21">
        <f t="shared" si="0"/>
        <v>421786561</v>
      </c>
      <c r="E16" s="21">
        <v>49815654</v>
      </c>
      <c r="F16" s="21">
        <v>21349566</v>
      </c>
      <c r="G16" s="21">
        <v>80564400</v>
      </c>
      <c r="H16" s="21">
        <f t="shared" si="1"/>
        <v>573516181</v>
      </c>
      <c r="I16" s="22"/>
      <c r="J16" s="22">
        <f t="shared" si="2"/>
        <v>39551750</v>
      </c>
      <c r="K16" s="22">
        <f t="shared" si="3"/>
        <v>188341664</v>
      </c>
      <c r="L16" s="22"/>
      <c r="M16" s="23">
        <f>-K16*parameters!$B$7*parameters!J16/1000</f>
        <v>-2644797.8348936178</v>
      </c>
      <c r="N16" s="22">
        <f>E16*parameters!K17/1000</f>
        <v>3857807.43790218</v>
      </c>
      <c r="O16" s="22">
        <f>parameters!$G$7*(1-parameters!$I17)*parameters!L17/1000</f>
        <v>8025469.8473400008</v>
      </c>
      <c r="P16" s="22">
        <f>(G16+F16)*parameters!$C$7*parameters!L17/1000</f>
        <v>7077924.9387000008</v>
      </c>
      <c r="Q16" s="22">
        <f>E16*parameters!$E$7*parameters!$D$7*parameters!L17/1000</f>
        <v>5188923.0597749995</v>
      </c>
      <c r="R16" s="24">
        <f t="shared" si="4"/>
        <v>20292317.845814999</v>
      </c>
      <c r="S16" s="5"/>
    </row>
    <row r="17" spans="1:19" ht="15.75" customHeight="1" x14ac:dyDescent="0.2">
      <c r="A17" s="20">
        <v>2036</v>
      </c>
      <c r="B17" s="21">
        <v>310292891</v>
      </c>
      <c r="C17" s="21">
        <v>40865546</v>
      </c>
      <c r="D17" s="21">
        <f t="shared" si="0"/>
        <v>351158437</v>
      </c>
      <c r="E17" s="21">
        <v>74723481</v>
      </c>
      <c r="F17" s="21">
        <v>32024349</v>
      </c>
      <c r="G17" s="21">
        <v>93991800</v>
      </c>
      <c r="H17" s="21">
        <f t="shared" si="1"/>
        <v>551898067</v>
      </c>
      <c r="I17" s="22"/>
      <c r="J17" s="22">
        <f t="shared" si="2"/>
        <v>70628124</v>
      </c>
      <c r="K17" s="22">
        <f t="shared" si="3"/>
        <v>258969788</v>
      </c>
      <c r="L17" s="22"/>
      <c r="M17" s="23">
        <f>-K17*parameters!$B$7*parameters!J17/1000</f>
        <v>-3636597.0229787235</v>
      </c>
      <c r="N17" s="22">
        <f>E17*parameters!K18/1000</f>
        <v>5708251.5018032705</v>
      </c>
      <c r="O17" s="22">
        <f>parameters!$G$7*(1-parameters!$I18)*parameters!L18/1000</f>
        <v>10031837.309175001</v>
      </c>
      <c r="P17" s="22">
        <f>(G17+F17)*parameters!$C$7*parameters!L18/1000</f>
        <v>8751821.5480500013</v>
      </c>
      <c r="Q17" s="22">
        <f>E17*parameters!$E$7*parameters!$D$7*parameters!L18/1000</f>
        <v>7783384.5896624997</v>
      </c>
      <c r="R17" s="24">
        <f t="shared" si="4"/>
        <v>26567043.446887501</v>
      </c>
      <c r="S17" s="5"/>
    </row>
    <row r="18" spans="1:19" ht="15.75" customHeight="1" x14ac:dyDescent="0.2">
      <c r="A18" s="20">
        <v>2037</v>
      </c>
      <c r="B18" s="21">
        <v>310292891</v>
      </c>
      <c r="C18" s="21">
        <v>40865546</v>
      </c>
      <c r="D18" s="21">
        <f t="shared" si="0"/>
        <v>351158437</v>
      </c>
      <c r="E18" s="21">
        <v>99631308</v>
      </c>
      <c r="F18" s="21">
        <v>42699132</v>
      </c>
      <c r="G18" s="21">
        <v>80564400</v>
      </c>
      <c r="H18" s="21">
        <f t="shared" si="1"/>
        <v>574053277</v>
      </c>
      <c r="I18" s="22"/>
      <c r="J18" s="22">
        <f t="shared" si="2"/>
        <v>0</v>
      </c>
      <c r="K18" s="22">
        <f t="shared" si="3"/>
        <v>258969788</v>
      </c>
      <c r="L18" s="22"/>
      <c r="M18" s="23">
        <f>-K18*parameters!$B$7*parameters!J18/1000</f>
        <v>-3636597.0229787235</v>
      </c>
      <c r="N18" s="22">
        <f>E18*parameters!K19/1000</f>
        <v>7126959.2334956406</v>
      </c>
      <c r="O18" s="22">
        <f>parameters!$G$7*(1-parameters!$I19)*parameters!L19/1000</f>
        <v>10031837.309175001</v>
      </c>
      <c r="P18" s="22">
        <f>(G18+F18)*parameters!$C$7*parameters!L19/1000</f>
        <v>8560652.2974000014</v>
      </c>
      <c r="Q18" s="22">
        <f>E18*parameters!$E$7*parameters!$D$7*parameters!L19/1000</f>
        <v>10377846.119549999</v>
      </c>
      <c r="R18" s="24">
        <f t="shared" si="4"/>
        <v>28970335.726125002</v>
      </c>
      <c r="S18" s="5"/>
    </row>
    <row r="19" spans="1:19" ht="15.75" customHeight="1" x14ac:dyDescent="0.2">
      <c r="A19" s="20">
        <v>2038</v>
      </c>
      <c r="B19" s="21">
        <v>303230079</v>
      </c>
      <c r="C19" s="21">
        <v>40865546</v>
      </c>
      <c r="D19" s="21">
        <f t="shared" si="0"/>
        <v>344095625</v>
      </c>
      <c r="E19" s="21">
        <v>124539135</v>
      </c>
      <c r="F19" s="21">
        <v>53373915</v>
      </c>
      <c r="G19" s="21">
        <v>69822480</v>
      </c>
      <c r="H19" s="21">
        <f t="shared" si="1"/>
        <v>591831155</v>
      </c>
      <c r="I19" s="22"/>
      <c r="J19" s="22">
        <f t="shared" si="2"/>
        <v>7062812</v>
      </c>
      <c r="K19" s="22">
        <f t="shared" si="3"/>
        <v>266032600</v>
      </c>
      <c r="L19" s="22"/>
      <c r="M19" s="23">
        <f>-K19*parameters!$B$7*parameters!J19/1000</f>
        <v>-3735776.9361702134</v>
      </c>
      <c r="N19" s="22">
        <f>E19*parameters!K20/1000</f>
        <v>8523666.3797554504</v>
      </c>
      <c r="O19" s="22">
        <f>parameters!$G$7*(1-parameters!$I20)*parameters!L20/1000</f>
        <v>10232474.055358501</v>
      </c>
      <c r="P19" s="22">
        <f>(G19+F19)*parameters!$C$7*parameters!L20/1000</f>
        <v>8555989.6327500008</v>
      </c>
      <c r="Q19" s="22">
        <f>E19*parameters!$E$7*parameters!$D$7*parameters!L20/1000</f>
        <v>12972307.6494375</v>
      </c>
      <c r="R19" s="24">
        <f t="shared" si="4"/>
        <v>31760771.337546006</v>
      </c>
      <c r="S19" s="5"/>
    </row>
    <row r="20" spans="1:19" ht="15.75" customHeight="1" x14ac:dyDescent="0.2">
      <c r="A20" s="20">
        <v>2039</v>
      </c>
      <c r="B20" s="21">
        <v>303230079</v>
      </c>
      <c r="C20" s="21">
        <v>40865546</v>
      </c>
      <c r="D20" s="21">
        <f t="shared" si="0"/>
        <v>344095625</v>
      </c>
      <c r="E20" s="21">
        <v>149446962</v>
      </c>
      <c r="F20" s="21">
        <v>64048698</v>
      </c>
      <c r="G20" s="21">
        <v>56395080</v>
      </c>
      <c r="H20" s="21">
        <f t="shared" si="1"/>
        <v>613986365</v>
      </c>
      <c r="I20" s="22"/>
      <c r="J20" s="22">
        <f t="shared" si="2"/>
        <v>0</v>
      </c>
      <c r="K20" s="22">
        <f t="shared" si="3"/>
        <v>266032600</v>
      </c>
      <c r="L20" s="22"/>
      <c r="M20" s="23">
        <f>-K20*parameters!$B$7*parameters!J20/1000</f>
        <v>-3735776.9361702134</v>
      </c>
      <c r="N20" s="22">
        <f>E20*parameters!K21/1000</f>
        <v>9787531.1178065389</v>
      </c>
      <c r="O20" s="22">
        <f>parameters!$G$7*(1-parameters!$I21)*parameters!L21/1000</f>
        <v>10232474.055358501</v>
      </c>
      <c r="P20" s="22">
        <f>(G20+F20)*parameters!$C$7*parameters!L21/1000</f>
        <v>8364820.3821</v>
      </c>
      <c r="Q20" s="22">
        <f>E20*parameters!$E$7*parameters!$D$7*parameters!L21/1000</f>
        <v>15566769.179324999</v>
      </c>
      <c r="R20" s="24">
        <f t="shared" si="4"/>
        <v>34164063.6167835</v>
      </c>
      <c r="S20" s="5"/>
    </row>
    <row r="21" spans="1:19" ht="15.75" customHeight="1" x14ac:dyDescent="0.2">
      <c r="A21" s="20">
        <v>2040</v>
      </c>
      <c r="B21" s="21">
        <v>310292891</v>
      </c>
      <c r="C21" s="21">
        <v>40865546</v>
      </c>
      <c r="D21" s="21">
        <f t="shared" si="0"/>
        <v>351158437</v>
      </c>
      <c r="E21" s="21">
        <v>149446962</v>
      </c>
      <c r="F21" s="21">
        <v>64048698</v>
      </c>
      <c r="G21" s="21">
        <v>53709600</v>
      </c>
      <c r="H21" s="21">
        <f t="shared" si="1"/>
        <v>618363697</v>
      </c>
      <c r="I21" s="22"/>
      <c r="J21" s="22">
        <f t="shared" si="2"/>
        <v>-7062812</v>
      </c>
      <c r="K21" s="22">
        <f t="shared" si="3"/>
        <v>258969788</v>
      </c>
      <c r="L21" s="22"/>
      <c r="M21" s="23">
        <f>-K21*parameters!$B$7*parameters!J21/1000</f>
        <v>-3636597.0229787235</v>
      </c>
      <c r="N21" s="22">
        <f>E21*parameters!K22/1000</f>
        <v>9367833.2365434617</v>
      </c>
      <c r="O21" s="22">
        <f>parameters!$G$7*(1-parameters!$I22)*parameters!L22/1000</f>
        <v>10031837.309175001</v>
      </c>
      <c r="P21" s="22">
        <f>(G21+F21)*parameters!$C$7*parameters!L22/1000</f>
        <v>8178313.7960999999</v>
      </c>
      <c r="Q21" s="22">
        <f>E21*parameters!$E$7*parameters!$D$7*parameters!L22/1000</f>
        <v>15566769.179324999</v>
      </c>
      <c r="R21" s="24">
        <f t="shared" si="4"/>
        <v>33776920.284600005</v>
      </c>
      <c r="S21" s="5"/>
    </row>
    <row r="22" spans="1:19" ht="15.75" customHeight="1" x14ac:dyDescent="0.2">
      <c r="A22" s="20">
        <v>2041</v>
      </c>
      <c r="B22" s="21">
        <v>303230079</v>
      </c>
      <c r="C22" s="21">
        <v>40865546</v>
      </c>
      <c r="D22" s="21">
        <f t="shared" si="0"/>
        <v>344095625</v>
      </c>
      <c r="E22" s="21">
        <v>161900876</v>
      </c>
      <c r="F22" s="21">
        <v>69386090</v>
      </c>
      <c r="G22" s="21">
        <v>49681380</v>
      </c>
      <c r="H22" s="21">
        <f t="shared" si="1"/>
        <v>625063971</v>
      </c>
      <c r="I22" s="22"/>
      <c r="J22" s="22">
        <f t="shared" si="2"/>
        <v>7062812</v>
      </c>
      <c r="K22" s="22">
        <f t="shared" si="3"/>
        <v>266032600</v>
      </c>
      <c r="L22" s="22"/>
      <c r="M22" s="23">
        <f>-K22*parameters!$B$7*parameters!J22/1000</f>
        <v>-3735776.9361702134</v>
      </c>
      <c r="N22" s="22">
        <f>E22*parameters!K23/1000</f>
        <v>9714052.5600000005</v>
      </c>
      <c r="O22" s="22">
        <f>parameters!$G$7*(1-parameters!$I23)*parameters!L23/1000</f>
        <v>10232474.055358501</v>
      </c>
      <c r="P22" s="22">
        <f>(G22+F22)*parameters!$C$7*parameters!L23/1000</f>
        <v>8269235.7915000003</v>
      </c>
      <c r="Q22" s="22">
        <f>E22*parameters!$E$7*parameters!$D$7*parameters!L23/1000</f>
        <v>16863999.996349998</v>
      </c>
      <c r="R22" s="24">
        <f t="shared" si="4"/>
        <v>35365709.843208499</v>
      </c>
      <c r="S22" s="5"/>
    </row>
    <row r="23" spans="1:19" ht="15.75" customHeight="1" x14ac:dyDescent="0.2">
      <c r="A23" s="20">
        <v>2042</v>
      </c>
      <c r="B23" s="21">
        <v>296167267</v>
      </c>
      <c r="C23" s="21">
        <v>40865546</v>
      </c>
      <c r="D23" s="21">
        <f t="shared" si="0"/>
        <v>337032813</v>
      </c>
      <c r="E23" s="21">
        <v>174354789</v>
      </c>
      <c r="F23" s="21">
        <v>74723481</v>
      </c>
      <c r="G23" s="21">
        <v>45653160</v>
      </c>
      <c r="H23" s="21">
        <f t="shared" si="1"/>
        <v>631764243</v>
      </c>
      <c r="I23" s="22"/>
      <c r="J23" s="22">
        <f t="shared" si="2"/>
        <v>7062812</v>
      </c>
      <c r="K23" s="22">
        <f t="shared" si="3"/>
        <v>273095412</v>
      </c>
      <c r="L23" s="22"/>
      <c r="M23" s="23">
        <f>-K23*parameters!$B$7*parameters!J23/1000</f>
        <v>-3834956.8493617019</v>
      </c>
      <c r="N23" s="22">
        <f>E23*parameters!K24/1000</f>
        <v>10015230.25265763</v>
      </c>
      <c r="O23" s="22">
        <f>parameters!$G$7*(1-parameters!$I24)*parameters!L24/1000</f>
        <v>10433110.801542001</v>
      </c>
      <c r="P23" s="22">
        <f>(G23+F23)*parameters!$C$7*parameters!L24/1000</f>
        <v>8360157.7174500003</v>
      </c>
      <c r="Q23" s="22">
        <f>E23*parameters!$E$7*parameters!$D$7*parameters!L24/1000</f>
        <v>18161230.709212501</v>
      </c>
      <c r="R23" s="24">
        <f t="shared" si="4"/>
        <v>36954499.228204504</v>
      </c>
      <c r="S23" s="5"/>
    </row>
    <row r="24" spans="1:19" ht="15.75" customHeight="1" x14ac:dyDescent="0.2">
      <c r="A24" s="20">
        <v>2043</v>
      </c>
      <c r="B24" s="21">
        <v>265561746</v>
      </c>
      <c r="C24" s="21">
        <v>40865546</v>
      </c>
      <c r="D24" s="21">
        <f t="shared" si="0"/>
        <v>306427292</v>
      </c>
      <c r="E24" s="21">
        <v>186808703</v>
      </c>
      <c r="F24" s="21">
        <v>80060873</v>
      </c>
      <c r="G24" s="21">
        <v>50576540</v>
      </c>
      <c r="H24" s="21">
        <f t="shared" si="1"/>
        <v>623873408</v>
      </c>
      <c r="I24" s="22"/>
      <c r="J24" s="22">
        <f t="shared" si="2"/>
        <v>30605521</v>
      </c>
      <c r="K24" s="22">
        <f t="shared" si="3"/>
        <v>303700933</v>
      </c>
      <c r="L24" s="22"/>
      <c r="M24" s="23">
        <f>-K24*parameters!$B$7*parameters!J24/1000</f>
        <v>-4264736.505957447</v>
      </c>
      <c r="N24" s="22">
        <f>E24*parameters!K25/1000</f>
        <v>10274478.664999999</v>
      </c>
      <c r="O24" s="22">
        <f>parameters!$G$7*(1-parameters!$I25)*parameters!L25/1000</f>
        <v>11302536.701670501</v>
      </c>
      <c r="P24" s="22">
        <f>(G24+F24)*parameters!$C$7*parameters!L25/1000</f>
        <v>9072768.3328499999</v>
      </c>
      <c r="Q24" s="22">
        <f>E24*parameters!$E$7*parameters!$D$7*parameters!L25/1000</f>
        <v>19458461.526237499</v>
      </c>
      <c r="R24" s="24">
        <f t="shared" si="4"/>
        <v>39833766.560757995</v>
      </c>
      <c r="S24" s="5"/>
    </row>
    <row r="25" spans="1:19" ht="15.75" customHeight="1" x14ac:dyDescent="0.2">
      <c r="A25" s="20">
        <v>2044</v>
      </c>
      <c r="B25" s="21">
        <v>234956226</v>
      </c>
      <c r="C25" s="21">
        <v>40865546</v>
      </c>
      <c r="D25" s="21">
        <f t="shared" si="0"/>
        <v>275821772</v>
      </c>
      <c r="E25" s="21">
        <v>199262616</v>
      </c>
      <c r="F25" s="21">
        <v>85398264</v>
      </c>
      <c r="G25" s="21">
        <v>55499920</v>
      </c>
      <c r="H25" s="21">
        <f t="shared" si="1"/>
        <v>615982572</v>
      </c>
      <c r="I25" s="22"/>
      <c r="J25" s="22">
        <f t="shared" si="2"/>
        <v>30605520</v>
      </c>
      <c r="K25" s="22">
        <f t="shared" si="3"/>
        <v>334306453</v>
      </c>
      <c r="L25" s="22"/>
      <c r="M25" s="23">
        <f>-K25*parameters!$B$7*parameters!J25/1000</f>
        <v>-4694516.1485106386</v>
      </c>
      <c r="N25" s="22">
        <f>E25*parameters!K26/1000</f>
        <v>10494498.44020872</v>
      </c>
      <c r="O25" s="22">
        <f>parameters!$G$7*(1-parameters!$I26)*parameters!L26/1000</f>
        <v>12171962.601799002</v>
      </c>
      <c r="P25" s="22">
        <f>(G25+F25)*parameters!$C$7*parameters!L26/1000</f>
        <v>9785378.878800001</v>
      </c>
      <c r="Q25" s="22">
        <f>E25*parameters!$E$7*parameters!$D$7*parameters!L26/1000</f>
        <v>20755692.239099998</v>
      </c>
      <c r="R25" s="24">
        <f t="shared" si="4"/>
        <v>42713033.719698995</v>
      </c>
      <c r="S25" s="5"/>
    </row>
    <row r="26" spans="1:19" ht="15.75" customHeight="1" x14ac:dyDescent="0.2">
      <c r="A26" s="20">
        <v>2045</v>
      </c>
      <c r="B26" s="21">
        <v>204350705</v>
      </c>
      <c r="C26" s="21">
        <v>40865546</v>
      </c>
      <c r="D26" s="21">
        <f t="shared" si="0"/>
        <v>245216251</v>
      </c>
      <c r="E26" s="21">
        <v>199262616</v>
      </c>
      <c r="F26" s="21">
        <v>85398264</v>
      </c>
      <c r="G26" s="21">
        <v>67137000</v>
      </c>
      <c r="H26" s="21">
        <f t="shared" si="1"/>
        <v>597014131</v>
      </c>
      <c r="I26" s="22"/>
      <c r="J26" s="22">
        <f t="shared" si="2"/>
        <v>30605521</v>
      </c>
      <c r="K26" s="22">
        <f t="shared" si="3"/>
        <v>364911974</v>
      </c>
      <c r="L26" s="22"/>
      <c r="M26" s="23">
        <f>-K26*parameters!$B$7*parameters!J26/1000</f>
        <v>-5124295.8051063837</v>
      </c>
      <c r="N26" s="22">
        <f>E26*parameters!K27/1000</f>
        <v>10051139.119608719</v>
      </c>
      <c r="O26" s="22">
        <f>parameters!$G$7*(1-parameters!$I27)*parameters!L27/1000</f>
        <v>13041388.501927502</v>
      </c>
      <c r="P26" s="22">
        <f>(G26+F26)*parameters!$C$7*parameters!L27/1000</f>
        <v>10593574.084800001</v>
      </c>
      <c r="Q26" s="22">
        <f>E26*parameters!$E$7*parameters!$D$7*parameters!L27/1000</f>
        <v>20755692.239099998</v>
      </c>
      <c r="R26" s="24">
        <f t="shared" si="4"/>
        <v>44390654.825827502</v>
      </c>
      <c r="S26" s="5"/>
    </row>
    <row r="27" spans="1:19" ht="15.75" customHeight="1" x14ac:dyDescent="0.2">
      <c r="A27" s="20">
        <v>2046</v>
      </c>
      <c r="B27" s="21">
        <v>197287893</v>
      </c>
      <c r="C27" s="21">
        <v>40865546</v>
      </c>
      <c r="D27" s="21">
        <f t="shared" si="0"/>
        <v>238153439</v>
      </c>
      <c r="E27" s="21">
        <v>199262616</v>
      </c>
      <c r="F27" s="21">
        <v>85398264</v>
      </c>
      <c r="G27" s="21">
        <v>69822480</v>
      </c>
      <c r="H27" s="21">
        <f t="shared" si="1"/>
        <v>592636799</v>
      </c>
      <c r="I27" s="22"/>
      <c r="J27" s="22">
        <f t="shared" si="2"/>
        <v>7062812</v>
      </c>
      <c r="K27" s="22">
        <f t="shared" si="3"/>
        <v>371974786</v>
      </c>
      <c r="L27" s="22"/>
      <c r="M27" s="23">
        <f>-K27*parameters!$B$7*parameters!J27/1000</f>
        <v>-5223475.7182978727</v>
      </c>
      <c r="N27" s="22">
        <f>E27*parameters!K28/1000</f>
        <v>9627706.0606087185</v>
      </c>
      <c r="O27" s="22">
        <f>parameters!$G$7*(1-parameters!$I28)*parameters!L28/1000</f>
        <v>13242025.248111</v>
      </c>
      <c r="P27" s="22">
        <f>(G27+F27)*parameters!$C$7*parameters!L28/1000</f>
        <v>10780080.6708</v>
      </c>
      <c r="Q27" s="22">
        <f>E27*parameters!$E$7*parameters!$D$7*parameters!L28/1000</f>
        <v>20755692.239099998</v>
      </c>
      <c r="R27" s="24">
        <f t="shared" si="4"/>
        <v>44777798.158011004</v>
      </c>
      <c r="S27" s="5"/>
    </row>
    <row r="28" spans="1:19" ht="15.75" customHeight="1" x14ac:dyDescent="0.2">
      <c r="A28" s="20">
        <v>2047</v>
      </c>
      <c r="B28" s="21">
        <v>190225081</v>
      </c>
      <c r="C28" s="21">
        <v>40865546</v>
      </c>
      <c r="D28" s="21">
        <f t="shared" si="0"/>
        <v>231090627</v>
      </c>
      <c r="E28" s="21">
        <v>199262616</v>
      </c>
      <c r="F28" s="21">
        <v>85398264</v>
      </c>
      <c r="G28" s="21">
        <v>72507960</v>
      </c>
      <c r="H28" s="21">
        <f t="shared" si="1"/>
        <v>588259467</v>
      </c>
      <c r="I28" s="22"/>
      <c r="J28" s="22">
        <f t="shared" si="2"/>
        <v>7062812</v>
      </c>
      <c r="K28" s="22">
        <f t="shared" si="3"/>
        <v>379037598</v>
      </c>
      <c r="L28" s="22"/>
      <c r="M28" s="23">
        <f>-K28*parameters!$B$7*parameters!J28/1000</f>
        <v>-5322655.6314893616</v>
      </c>
      <c r="N28" s="22">
        <f>E28*parameters!K29/1000</f>
        <v>9220877.555399999</v>
      </c>
      <c r="O28" s="22">
        <f>parameters!$G$7*(1-parameters!$I29)*parameters!L29/1000</f>
        <v>13442661.9942945</v>
      </c>
      <c r="P28" s="22">
        <f>(G28+F28)*parameters!$C$7*parameters!L29/1000</f>
        <v>10966587.256800001</v>
      </c>
      <c r="Q28" s="22">
        <f>E28*parameters!$E$7*parameters!$D$7*parameters!L29/1000</f>
        <v>20755692.239099998</v>
      </c>
      <c r="R28" s="24">
        <f t="shared" si="4"/>
        <v>45164941.490194499</v>
      </c>
      <c r="S28" s="5"/>
    </row>
    <row r="29" spans="1:19" ht="15.75" customHeight="1" x14ac:dyDescent="0.2">
      <c r="A29" s="20">
        <v>2048</v>
      </c>
      <c r="B29" s="21">
        <v>154911019</v>
      </c>
      <c r="C29" s="21">
        <v>40865546</v>
      </c>
      <c r="D29" s="21">
        <f t="shared" si="0"/>
        <v>195776565</v>
      </c>
      <c r="E29" s="21">
        <v>219188878</v>
      </c>
      <c r="F29" s="21">
        <v>93938090</v>
      </c>
      <c r="G29" s="21">
        <v>75193440</v>
      </c>
      <c r="H29" s="21">
        <f t="shared" si="1"/>
        <v>584096973</v>
      </c>
      <c r="I29" s="22"/>
      <c r="J29" s="22">
        <f t="shared" si="2"/>
        <v>35314062</v>
      </c>
      <c r="K29" s="22">
        <f t="shared" si="3"/>
        <v>414351660</v>
      </c>
      <c r="L29" s="22"/>
      <c r="M29" s="23">
        <f>-K29*parameters!$B$7*parameters!J29/1000</f>
        <v>-5818555.2255319143</v>
      </c>
      <c r="N29" s="22">
        <f>E29*parameters!K30/1000</f>
        <v>9715547.0173500013</v>
      </c>
      <c r="O29" s="22">
        <f>parameters!$G$7*(1-parameters!$I30)*parameters!L30/1000</f>
        <v>14445845.725212002</v>
      </c>
      <c r="P29" s="22">
        <f>(G29+F29)*parameters!$C$7*parameters!L30/1000</f>
        <v>11746184.7585</v>
      </c>
      <c r="Q29" s="22">
        <f>E29*parameters!$E$7*parameters!$D$7*parameters!L30/1000</f>
        <v>22831261.504675001</v>
      </c>
      <c r="R29" s="24">
        <f t="shared" si="4"/>
        <v>49023291.988387004</v>
      </c>
      <c r="S29" s="5"/>
    </row>
    <row r="30" spans="1:19" ht="15.75" customHeight="1" x14ac:dyDescent="0.2">
      <c r="A30" s="20">
        <v>2049</v>
      </c>
      <c r="B30" s="21">
        <v>119596957</v>
      </c>
      <c r="C30" s="21">
        <v>40865546</v>
      </c>
      <c r="D30" s="21">
        <f t="shared" si="0"/>
        <v>160462503</v>
      </c>
      <c r="E30" s="21">
        <v>239115139</v>
      </c>
      <c r="F30" s="21">
        <v>102477917</v>
      </c>
      <c r="G30" s="21">
        <v>77878920</v>
      </c>
      <c r="H30" s="21">
        <f t="shared" si="1"/>
        <v>579934479</v>
      </c>
      <c r="I30" s="22"/>
      <c r="J30" s="22">
        <f t="shared" si="2"/>
        <v>35314062</v>
      </c>
      <c r="K30" s="22">
        <f t="shared" si="3"/>
        <v>449665722</v>
      </c>
      <c r="L30" s="22"/>
      <c r="M30" s="23">
        <f>-K30*parameters!$B$7*parameters!J30/1000</f>
        <v>-6314454.8195744688</v>
      </c>
      <c r="N30" s="22">
        <f>E30*parameters!K31/1000</f>
        <v>10152429.479657872</v>
      </c>
      <c r="O30" s="22">
        <f>parameters!$G$7*(1-parameters!$I31)*parameters!L31/1000</f>
        <v>15449029.456129501</v>
      </c>
      <c r="P30" s="22">
        <f>(G30+F30)*parameters!$C$7*parameters!L31/1000</f>
        <v>12525782.32965</v>
      </c>
      <c r="Q30" s="22">
        <f>E30*parameters!$E$7*parameters!$D$7*parameters!L31/1000</f>
        <v>24906830.666087497</v>
      </c>
      <c r="R30" s="24">
        <f t="shared" si="4"/>
        <v>52881642.451866999</v>
      </c>
      <c r="S30" s="5"/>
    </row>
    <row r="31" spans="1:19" ht="15.75" customHeight="1" x14ac:dyDescent="0.2">
      <c r="A31" s="20">
        <v>2050</v>
      </c>
      <c r="B31" s="21">
        <v>98408519</v>
      </c>
      <c r="C31" s="21">
        <v>40865546</v>
      </c>
      <c r="D31" s="21">
        <f t="shared" si="0"/>
        <v>139274065</v>
      </c>
      <c r="E31" s="21">
        <v>249078270</v>
      </c>
      <c r="F31" s="21">
        <v>106747830</v>
      </c>
      <c r="G31" s="21">
        <v>80564400</v>
      </c>
      <c r="H31" s="21">
        <f t="shared" si="1"/>
        <v>575664565</v>
      </c>
      <c r="I31" s="22"/>
      <c r="J31" s="22">
        <f t="shared" si="2"/>
        <v>21188438</v>
      </c>
      <c r="K31" s="22">
        <f t="shared" si="3"/>
        <v>470854160</v>
      </c>
      <c r="L31" s="22"/>
      <c r="M31" s="25">
        <f>-K31*parameters!$B$7*parameters!J31/1000</f>
        <v>-6611994.5872340435</v>
      </c>
      <c r="N31" s="26">
        <f>E31*parameters!K32/1000</f>
        <v>10131258.63225</v>
      </c>
      <c r="O31" s="22">
        <f>parameters!$G$7*(1-parameters!$I32)*parameters!L32/1000</f>
        <v>16050939.694680002</v>
      </c>
      <c r="P31" s="22">
        <f>(G31+F31)*parameters!$C$7*parameters!L32/1000</f>
        <v>13008834.373500001</v>
      </c>
      <c r="Q31" s="22">
        <f>E31*parameters!$E$7*parameters!$D$7*parameters!L32/1000</f>
        <v>25944615.298875</v>
      </c>
      <c r="R31" s="27">
        <f t="shared" si="4"/>
        <v>55004389.367054999</v>
      </c>
      <c r="S31" s="5"/>
    </row>
    <row r="32" spans="1:19" ht="15.75" customHeight="1" x14ac:dyDescent="0.2"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</row>
    <row r="33" spans="2:19" ht="15.75" customHeight="1" x14ac:dyDescent="0.2"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</row>
    <row r="34" spans="2:19" ht="15.75" customHeight="1" x14ac:dyDescent="0.2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</row>
    <row r="35" spans="2:19" ht="15.75" customHeight="1" x14ac:dyDescent="0.2"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</row>
    <row r="36" spans="2:19" ht="15.75" customHeight="1" x14ac:dyDescent="0.2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</row>
    <row r="37" spans="2:19" ht="15.75" customHeight="1" x14ac:dyDescent="0.2"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</row>
    <row r="38" spans="2:19" ht="15.75" customHeight="1" x14ac:dyDescent="0.2"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</row>
    <row r="39" spans="2:19" ht="15.75" customHeight="1" x14ac:dyDescent="0.2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</row>
    <row r="40" spans="2:19" ht="15.75" customHeight="1" x14ac:dyDescent="0.2"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</row>
    <row r="41" spans="2:19" ht="15.75" customHeight="1" x14ac:dyDescent="0.2"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</row>
    <row r="42" spans="2:19" ht="15.75" customHeight="1" x14ac:dyDescent="0.2"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</row>
    <row r="43" spans="2:19" ht="15.75" customHeight="1" x14ac:dyDescent="0.2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</row>
    <row r="44" spans="2:19" ht="15.75" customHeight="1" x14ac:dyDescent="0.2"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</row>
    <row r="45" spans="2:19" ht="15.75" customHeight="1" x14ac:dyDescent="0.2"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</row>
    <row r="46" spans="2:19" ht="15.75" customHeight="1" x14ac:dyDescent="0.2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</row>
    <row r="47" spans="2:19" ht="15.75" customHeight="1" x14ac:dyDescent="0.2"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</row>
    <row r="48" spans="2:19" ht="15.75" customHeight="1" x14ac:dyDescent="0.2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</row>
    <row r="49" spans="2:19" ht="15.75" customHeight="1" x14ac:dyDescent="0.2"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</row>
    <row r="50" spans="2:19" ht="15.75" customHeight="1" x14ac:dyDescent="0.2"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</row>
    <row r="51" spans="2:19" ht="15.75" customHeight="1" x14ac:dyDescent="0.2"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</row>
    <row r="52" spans="2:19" ht="15.75" customHeight="1" x14ac:dyDescent="0.2"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</row>
    <row r="53" spans="2:19" ht="15.75" customHeight="1" x14ac:dyDescent="0.2"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</row>
    <row r="54" spans="2:19" ht="15.75" customHeight="1" x14ac:dyDescent="0.2"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</row>
    <row r="55" spans="2:19" ht="15.75" customHeight="1" x14ac:dyDescent="0.2"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</row>
    <row r="56" spans="2:19" ht="15.75" customHeight="1" x14ac:dyDescent="0.2"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</row>
    <row r="57" spans="2:19" ht="15.75" customHeight="1" x14ac:dyDescent="0.2"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</row>
    <row r="58" spans="2:19" ht="15.75" customHeight="1" x14ac:dyDescent="0.2"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</row>
    <row r="59" spans="2:19" ht="15.75" customHeight="1" x14ac:dyDescent="0.2"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</row>
    <row r="60" spans="2:19" ht="15.75" customHeight="1" x14ac:dyDescent="0.2"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</row>
    <row r="61" spans="2:19" ht="15.75" customHeight="1" x14ac:dyDescent="0.2"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</row>
    <row r="62" spans="2:19" ht="15.75" customHeight="1" x14ac:dyDescent="0.2"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</row>
    <row r="63" spans="2:19" ht="15.75" customHeight="1" x14ac:dyDescent="0.2"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</row>
    <row r="64" spans="2:19" ht="15.75" customHeight="1" x14ac:dyDescent="0.2"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</row>
    <row r="65" spans="2:19" ht="15.75" customHeight="1" x14ac:dyDescent="0.2"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</row>
    <row r="66" spans="2:19" ht="15.75" customHeight="1" x14ac:dyDescent="0.2"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</row>
    <row r="67" spans="2:19" ht="15.75" customHeight="1" x14ac:dyDescent="0.2"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</row>
    <row r="68" spans="2:19" ht="15.75" customHeight="1" x14ac:dyDescent="0.2"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</row>
    <row r="69" spans="2:19" ht="15.75" customHeight="1" x14ac:dyDescent="0.2"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</row>
    <row r="70" spans="2:19" ht="15.75" customHeight="1" x14ac:dyDescent="0.2"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</row>
    <row r="71" spans="2:19" ht="15.75" customHeight="1" x14ac:dyDescent="0.2"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</row>
    <row r="72" spans="2:19" ht="15.75" customHeight="1" x14ac:dyDescent="0.2"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</row>
    <row r="73" spans="2:19" ht="15.75" customHeight="1" x14ac:dyDescent="0.2"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</row>
    <row r="74" spans="2:19" ht="15.75" customHeight="1" x14ac:dyDescent="0.2"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</row>
    <row r="75" spans="2:19" ht="15.75" customHeight="1" x14ac:dyDescent="0.2"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</row>
    <row r="76" spans="2:19" ht="15.75" customHeight="1" x14ac:dyDescent="0.2"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</row>
    <row r="77" spans="2:19" ht="15.75" customHeight="1" x14ac:dyDescent="0.2"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</row>
    <row r="78" spans="2:19" ht="15.75" customHeight="1" x14ac:dyDescent="0.2"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</row>
    <row r="79" spans="2:19" ht="15.75" customHeight="1" x14ac:dyDescent="0.2"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</row>
    <row r="80" spans="2:19" ht="15.75" customHeight="1" x14ac:dyDescent="0.2"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</row>
    <row r="81" spans="2:19" ht="15.75" customHeight="1" x14ac:dyDescent="0.2"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</row>
    <row r="82" spans="2:19" ht="15.75" customHeight="1" x14ac:dyDescent="0.2"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</row>
    <row r="83" spans="2:19" ht="15.75" customHeight="1" x14ac:dyDescent="0.2"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</row>
    <row r="84" spans="2:19" ht="15.75" customHeight="1" x14ac:dyDescent="0.2"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</row>
    <row r="85" spans="2:19" ht="15.75" customHeight="1" x14ac:dyDescent="0.2"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</row>
    <row r="86" spans="2:19" ht="15.75" customHeight="1" x14ac:dyDescent="0.2"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</row>
    <row r="87" spans="2:19" ht="15.75" customHeight="1" x14ac:dyDescent="0.2"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</row>
    <row r="88" spans="2:19" ht="15.75" customHeight="1" x14ac:dyDescent="0.2"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</row>
    <row r="89" spans="2:19" ht="15.75" customHeight="1" x14ac:dyDescent="0.2"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</row>
    <row r="90" spans="2:19" ht="15.75" customHeight="1" x14ac:dyDescent="0.2"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</row>
    <row r="91" spans="2:19" ht="15.75" customHeight="1" x14ac:dyDescent="0.2"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</row>
    <row r="92" spans="2:19" ht="15.75" customHeight="1" x14ac:dyDescent="0.2"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</row>
    <row r="93" spans="2:19" ht="15.75" customHeight="1" x14ac:dyDescent="0.2"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</row>
    <row r="94" spans="2:19" ht="15.75" customHeight="1" x14ac:dyDescent="0.2"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</row>
    <row r="95" spans="2:19" ht="15.75" customHeight="1" x14ac:dyDescent="0.2"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</row>
    <row r="96" spans="2:19" ht="15.75" customHeight="1" x14ac:dyDescent="0.2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</row>
    <row r="97" spans="2:19" ht="15.75" customHeight="1" x14ac:dyDescent="0.2"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</row>
    <row r="98" spans="2:19" ht="15.75" customHeight="1" x14ac:dyDescent="0.2"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</row>
    <row r="99" spans="2:19" ht="15.75" customHeight="1" x14ac:dyDescent="0.2"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</row>
    <row r="100" spans="2:19" ht="15.75" customHeight="1" x14ac:dyDescent="0.2"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</row>
    <row r="101" spans="2:19" ht="15.75" customHeight="1" x14ac:dyDescent="0.2"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</row>
    <row r="102" spans="2:19" ht="15.75" customHeight="1" x14ac:dyDescent="0.2"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</row>
    <row r="103" spans="2:19" ht="15.75" customHeight="1" x14ac:dyDescent="0.2"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spans="2:19" ht="15.75" customHeight="1" x14ac:dyDescent="0.2"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spans="2:19" ht="15.75" customHeight="1" x14ac:dyDescent="0.2"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spans="2:19" ht="15.75" customHeight="1" x14ac:dyDescent="0.2"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spans="2:19" ht="15.75" customHeight="1" x14ac:dyDescent="0.2"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  <row r="108" spans="2:19" ht="15.75" customHeight="1" x14ac:dyDescent="0.2"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</row>
    <row r="109" spans="2:19" ht="15.75" customHeight="1" x14ac:dyDescent="0.2"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</row>
    <row r="110" spans="2:19" ht="15.75" customHeight="1" x14ac:dyDescent="0.2"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</row>
    <row r="111" spans="2:19" ht="15.75" customHeight="1" x14ac:dyDescent="0.2"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</row>
    <row r="112" spans="2:19" ht="15.75" customHeight="1" x14ac:dyDescent="0.2"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</row>
    <row r="113" spans="2:19" ht="15.75" customHeight="1" x14ac:dyDescent="0.2"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</row>
    <row r="114" spans="2:19" ht="15.75" customHeight="1" x14ac:dyDescent="0.2"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</row>
    <row r="115" spans="2:19" ht="15.75" customHeight="1" x14ac:dyDescent="0.2"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</row>
    <row r="116" spans="2:19" ht="15.75" customHeight="1" x14ac:dyDescent="0.2"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</row>
    <row r="117" spans="2:19" ht="15.75" customHeight="1" x14ac:dyDescent="0.2"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</row>
    <row r="118" spans="2:19" ht="15.75" customHeight="1" x14ac:dyDescent="0.2"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</row>
    <row r="119" spans="2:19" ht="15.75" customHeight="1" x14ac:dyDescent="0.2"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</row>
    <row r="120" spans="2:19" ht="15.75" customHeight="1" x14ac:dyDescent="0.2"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</row>
    <row r="121" spans="2:19" ht="15.75" customHeight="1" x14ac:dyDescent="0.2"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</row>
    <row r="122" spans="2:19" ht="15.75" customHeight="1" x14ac:dyDescent="0.2"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</row>
    <row r="123" spans="2:19" ht="15.75" customHeight="1" x14ac:dyDescent="0.2"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</row>
    <row r="124" spans="2:19" ht="15.75" customHeight="1" x14ac:dyDescent="0.2"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</row>
    <row r="125" spans="2:19" ht="15.75" customHeight="1" x14ac:dyDescent="0.2"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</row>
    <row r="126" spans="2:19" ht="15.75" customHeight="1" x14ac:dyDescent="0.2"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</row>
    <row r="127" spans="2:19" ht="15.75" customHeight="1" x14ac:dyDescent="0.2"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</row>
    <row r="128" spans="2:19" ht="15.75" customHeight="1" x14ac:dyDescent="0.2"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</row>
    <row r="129" spans="2:19" ht="15.75" customHeight="1" x14ac:dyDescent="0.2"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</row>
    <row r="130" spans="2:19" ht="15.75" customHeight="1" x14ac:dyDescent="0.2"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</row>
    <row r="131" spans="2:19" ht="15.75" customHeight="1" x14ac:dyDescent="0.2"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</row>
    <row r="132" spans="2:19" ht="15.75" customHeight="1" x14ac:dyDescent="0.2"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</row>
    <row r="133" spans="2:19" ht="15.75" customHeight="1" x14ac:dyDescent="0.2"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</row>
    <row r="134" spans="2:19" ht="15.75" customHeight="1" x14ac:dyDescent="0.2"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</row>
    <row r="135" spans="2:19" ht="15.75" customHeight="1" x14ac:dyDescent="0.2"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</row>
    <row r="136" spans="2:19" ht="15.75" customHeight="1" x14ac:dyDescent="0.2"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</row>
    <row r="137" spans="2:19" ht="15.75" customHeight="1" x14ac:dyDescent="0.2"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</row>
    <row r="138" spans="2:19" ht="15.75" customHeight="1" x14ac:dyDescent="0.2"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</row>
    <row r="139" spans="2:19" ht="15.75" customHeight="1" x14ac:dyDescent="0.2"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</row>
    <row r="140" spans="2:19" ht="15.75" customHeight="1" x14ac:dyDescent="0.2"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</row>
    <row r="141" spans="2:19" ht="15.75" customHeight="1" x14ac:dyDescent="0.2"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</row>
    <row r="142" spans="2:19" ht="15.75" customHeight="1" x14ac:dyDescent="0.2"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</row>
    <row r="143" spans="2:19" ht="15.75" customHeight="1" x14ac:dyDescent="0.2"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</row>
    <row r="144" spans="2:19" ht="15.75" customHeight="1" x14ac:dyDescent="0.2"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</row>
    <row r="145" spans="2:19" ht="15.75" customHeight="1" x14ac:dyDescent="0.2"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</row>
    <row r="146" spans="2:19" ht="15.75" customHeight="1" x14ac:dyDescent="0.2"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</row>
    <row r="147" spans="2:19" ht="15.75" customHeight="1" x14ac:dyDescent="0.2"/>
    <row r="148" spans="2:19" ht="15.75" customHeight="1" x14ac:dyDescent="0.2"/>
    <row r="149" spans="2:19" ht="15.75" customHeight="1" x14ac:dyDescent="0.2"/>
    <row r="150" spans="2:19" ht="15.75" customHeight="1" x14ac:dyDescent="0.2"/>
    <row r="151" spans="2:19" ht="15.75" customHeight="1" x14ac:dyDescent="0.2"/>
    <row r="152" spans="2:19" ht="15.75" customHeight="1" x14ac:dyDescent="0.2"/>
    <row r="153" spans="2:19" ht="15.75" customHeight="1" x14ac:dyDescent="0.2"/>
    <row r="154" spans="2:19" ht="15.75" customHeight="1" x14ac:dyDescent="0.2"/>
    <row r="155" spans="2:19" ht="15.75" customHeight="1" x14ac:dyDescent="0.2"/>
    <row r="156" spans="2:19" ht="15.75" customHeight="1" x14ac:dyDescent="0.2"/>
    <row r="157" spans="2:19" ht="15.75" customHeight="1" x14ac:dyDescent="0.2"/>
    <row r="158" spans="2:19" ht="15.75" customHeight="1" x14ac:dyDescent="0.2"/>
    <row r="159" spans="2:19" ht="15.75" customHeight="1" x14ac:dyDescent="0.2"/>
    <row r="160" spans="2:19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000"/>
  <sheetViews>
    <sheetView tabSelected="1" workbookViewId="0">
      <selection activeCell="N34" sqref="N34"/>
    </sheetView>
  </sheetViews>
  <sheetFormatPr baseColWidth="10" defaultColWidth="11.1640625" defaultRowHeight="15" customHeight="1" x14ac:dyDescent="0.2"/>
  <cols>
    <col min="1" max="27" width="10.5" customWidth="1"/>
  </cols>
  <sheetData>
    <row r="1" spans="1:14" ht="41.25" customHeight="1" x14ac:dyDescent="0.2">
      <c r="B1" s="29" t="s">
        <v>30</v>
      </c>
      <c r="C1" s="29" t="s">
        <v>31</v>
      </c>
      <c r="D1" s="29" t="s">
        <v>32</v>
      </c>
      <c r="E1" s="29" t="s">
        <v>31</v>
      </c>
      <c r="F1" s="30" t="s">
        <v>33</v>
      </c>
      <c r="G1" s="30" t="s">
        <v>33</v>
      </c>
      <c r="H1" s="31" t="s">
        <v>34</v>
      </c>
      <c r="I1" s="31" t="s">
        <v>35</v>
      </c>
      <c r="J1" s="30" t="s">
        <v>36</v>
      </c>
      <c r="K1" s="30" t="s">
        <v>37</v>
      </c>
      <c r="L1" s="30" t="s">
        <v>38</v>
      </c>
    </row>
    <row r="2" spans="1:14" ht="15.75" customHeight="1" x14ac:dyDescent="0.2">
      <c r="A2" s="32" t="s">
        <v>39</v>
      </c>
      <c r="B2" s="33" t="s">
        <v>40</v>
      </c>
      <c r="C2" s="33" t="s">
        <v>41</v>
      </c>
      <c r="D2" s="33" t="s">
        <v>42</v>
      </c>
      <c r="E2" s="34" t="s">
        <v>43</v>
      </c>
      <c r="F2" s="35" t="s">
        <v>44</v>
      </c>
      <c r="G2" s="35" t="s">
        <v>44</v>
      </c>
      <c r="H2" s="35" t="s">
        <v>45</v>
      </c>
      <c r="I2" s="35" t="s">
        <v>45</v>
      </c>
      <c r="J2" s="35" t="s">
        <v>45</v>
      </c>
      <c r="K2" s="35" t="s">
        <v>45</v>
      </c>
      <c r="L2" s="35" t="s">
        <v>45</v>
      </c>
    </row>
    <row r="3" spans="1:14" ht="15.75" customHeight="1" x14ac:dyDescent="0.2">
      <c r="B3" s="35" t="s">
        <v>46</v>
      </c>
      <c r="C3" s="35" t="s">
        <v>47</v>
      </c>
      <c r="D3" s="35" t="s">
        <v>48</v>
      </c>
      <c r="E3" s="35" t="s">
        <v>49</v>
      </c>
      <c r="F3" s="35" t="s">
        <v>28</v>
      </c>
      <c r="G3" s="35" t="s">
        <v>50</v>
      </c>
      <c r="H3" s="35"/>
      <c r="I3" s="35"/>
      <c r="J3" s="35" t="s">
        <v>51</v>
      </c>
      <c r="K3" s="35" t="s">
        <v>52</v>
      </c>
      <c r="L3" s="35" t="s">
        <v>53</v>
      </c>
    </row>
    <row r="4" spans="1:14" ht="15.75" customHeight="1" x14ac:dyDescent="0.2">
      <c r="A4" s="20">
        <v>2022</v>
      </c>
      <c r="B4" s="35"/>
      <c r="C4" s="35"/>
      <c r="D4" s="35"/>
      <c r="E4" s="35"/>
      <c r="F4" s="35">
        <v>288103292</v>
      </c>
      <c r="G4" s="35"/>
      <c r="H4" s="35"/>
      <c r="I4" s="35"/>
      <c r="J4" s="35"/>
      <c r="K4" s="35"/>
      <c r="L4" s="35"/>
    </row>
    <row r="5" spans="1:14" ht="15.75" customHeight="1" x14ac:dyDescent="0.2">
      <c r="A5" s="20">
        <v>2023</v>
      </c>
      <c r="B5" s="35"/>
      <c r="C5" s="35"/>
      <c r="D5" s="35"/>
      <c r="E5" s="35"/>
      <c r="F5" s="35">
        <v>294489643</v>
      </c>
      <c r="G5" s="35"/>
      <c r="H5" s="35"/>
      <c r="I5" s="35"/>
      <c r="J5" s="35"/>
      <c r="K5" s="35"/>
      <c r="L5" s="35"/>
    </row>
    <row r="6" spans="1:14" ht="15.75" customHeight="1" x14ac:dyDescent="0.2">
      <c r="A6" s="20">
        <v>2024</v>
      </c>
      <c r="B6" s="35"/>
      <c r="C6" s="35"/>
      <c r="D6" s="35"/>
      <c r="E6" s="35"/>
      <c r="F6" s="35">
        <v>284088474</v>
      </c>
      <c r="G6" s="35"/>
      <c r="H6" s="35"/>
      <c r="I6" s="35"/>
      <c r="J6" s="35"/>
      <c r="K6" s="35"/>
      <c r="L6" s="35"/>
    </row>
    <row r="7" spans="1:14" ht="15.75" customHeight="1" x14ac:dyDescent="0.2">
      <c r="A7" s="20">
        <v>2025</v>
      </c>
      <c r="B7" s="35">
        <f>1/28.2</f>
        <v>3.5460992907801421E-2</v>
      </c>
      <c r="C7" s="35">
        <v>277.8</v>
      </c>
      <c r="D7" s="35">
        <v>50</v>
      </c>
      <c r="E7" s="35">
        <v>8.3330000000000002</v>
      </c>
      <c r="F7" s="35">
        <f>AVERAGE(F4:F6)</f>
        <v>288893803</v>
      </c>
      <c r="G7" s="35">
        <f>F7*C7</f>
        <v>80254698473.400009</v>
      </c>
      <c r="H7" s="35">
        <v>0.92859999999999998</v>
      </c>
      <c r="I7" s="36">
        <v>0.8666666666666667</v>
      </c>
      <c r="J7" s="35">
        <v>396</v>
      </c>
      <c r="K7" s="35">
        <v>90.716669999999993</v>
      </c>
      <c r="L7" s="35">
        <v>0.17</v>
      </c>
    </row>
    <row r="8" spans="1:14" ht="15.75" customHeight="1" x14ac:dyDescent="0.2">
      <c r="A8" s="20">
        <v>2026</v>
      </c>
      <c r="B8" s="35"/>
      <c r="C8" s="35"/>
      <c r="D8" s="35"/>
      <c r="E8" s="35"/>
      <c r="F8" s="35"/>
      <c r="G8" s="35"/>
      <c r="H8" s="35">
        <v>0.87680000000000002</v>
      </c>
      <c r="I8" s="36">
        <v>0.8</v>
      </c>
      <c r="J8" s="35">
        <v>396</v>
      </c>
      <c r="K8" s="35">
        <v>89.674999999999997</v>
      </c>
      <c r="L8" s="35">
        <v>0.18</v>
      </c>
    </row>
    <row r="9" spans="1:14" ht="15.75" customHeight="1" x14ac:dyDescent="0.2">
      <c r="A9" s="20">
        <v>2027</v>
      </c>
      <c r="B9" s="35"/>
      <c r="C9" s="35"/>
      <c r="D9" s="35"/>
      <c r="E9" s="35"/>
      <c r="F9" s="35"/>
      <c r="G9" s="35"/>
      <c r="H9" s="35">
        <v>0.82489999999999997</v>
      </c>
      <c r="I9" s="36">
        <v>0.79500000000000004</v>
      </c>
      <c r="J9" s="35">
        <v>396</v>
      </c>
      <c r="K9" s="35">
        <v>87.974999999999994</v>
      </c>
      <c r="L9" s="35">
        <v>0.18</v>
      </c>
    </row>
    <row r="10" spans="1:14" ht="15.75" customHeight="1" x14ac:dyDescent="0.2">
      <c r="A10" s="20">
        <v>2028</v>
      </c>
      <c r="B10" s="35"/>
      <c r="C10" s="35"/>
      <c r="D10" s="35"/>
      <c r="E10" s="35"/>
      <c r="F10" s="35"/>
      <c r="G10" s="35"/>
      <c r="H10" s="35">
        <v>0.82489999999999997</v>
      </c>
      <c r="I10" s="36">
        <v>0.79</v>
      </c>
      <c r="J10" s="35">
        <v>396</v>
      </c>
      <c r="K10" s="35">
        <v>89.741669999999999</v>
      </c>
      <c r="L10" s="35">
        <v>0.19</v>
      </c>
    </row>
    <row r="11" spans="1:14" ht="15.75" customHeight="1" x14ac:dyDescent="0.2">
      <c r="A11" s="20">
        <v>2029</v>
      </c>
      <c r="B11" s="35"/>
      <c r="C11" s="35"/>
      <c r="D11" s="35"/>
      <c r="E11" s="35"/>
      <c r="F11" s="35"/>
      <c r="G11" s="35"/>
      <c r="H11" s="35">
        <v>0.80420000000000003</v>
      </c>
      <c r="I11" s="36">
        <v>0.78500000000000003</v>
      </c>
      <c r="J11" s="35">
        <v>396</v>
      </c>
      <c r="K11" s="35">
        <v>89.8</v>
      </c>
      <c r="L11" s="35">
        <v>0.2</v>
      </c>
    </row>
    <row r="12" spans="1:14" ht="15.75" customHeight="1" x14ac:dyDescent="0.2">
      <c r="A12" s="20">
        <v>2030</v>
      </c>
      <c r="B12" s="35"/>
      <c r="C12" s="35"/>
      <c r="D12" s="35"/>
      <c r="E12" s="35"/>
      <c r="F12" s="35"/>
      <c r="G12" s="35"/>
      <c r="H12" s="35">
        <v>0.64229999999999998</v>
      </c>
      <c r="I12" s="36">
        <v>0.78</v>
      </c>
      <c r="J12" s="35">
        <v>396</v>
      </c>
      <c r="K12" s="35">
        <v>86.4</v>
      </c>
      <c r="L12" s="35">
        <v>0.21</v>
      </c>
    </row>
    <row r="13" spans="1:14" ht="15.75" customHeight="1" x14ac:dyDescent="0.2">
      <c r="A13" s="20">
        <v>2031</v>
      </c>
      <c r="B13" s="35"/>
      <c r="C13" s="35"/>
      <c r="D13" s="35"/>
      <c r="E13" s="35"/>
      <c r="F13" s="35"/>
      <c r="G13" s="35"/>
      <c r="H13" s="35">
        <v>0.64229999999999998</v>
      </c>
      <c r="I13" s="36">
        <v>0.76400000000000001</v>
      </c>
      <c r="J13" s="35">
        <v>396</v>
      </c>
      <c r="K13" s="35">
        <v>83.208330000000004</v>
      </c>
      <c r="L13" s="35">
        <v>0.21</v>
      </c>
      <c r="N13" s="37"/>
    </row>
    <row r="14" spans="1:14" ht="15.75" customHeight="1" x14ac:dyDescent="0.2">
      <c r="A14" s="20">
        <v>2032</v>
      </c>
      <c r="B14" s="35"/>
      <c r="C14" s="35"/>
      <c r="D14" s="35"/>
      <c r="E14" s="35"/>
      <c r="F14" s="35"/>
      <c r="G14" s="35"/>
      <c r="H14" s="35">
        <v>0.64229999999999998</v>
      </c>
      <c r="I14" s="36">
        <v>0.748</v>
      </c>
      <c r="J14" s="35">
        <v>396</v>
      </c>
      <c r="K14" s="35">
        <v>80.783330000000007</v>
      </c>
      <c r="L14" s="35">
        <v>0.22</v>
      </c>
    </row>
    <row r="15" spans="1:14" ht="15.75" customHeight="1" x14ac:dyDescent="0.2">
      <c r="A15" s="20">
        <v>2033</v>
      </c>
      <c r="B15" s="35"/>
      <c r="C15" s="35"/>
      <c r="D15" s="35"/>
      <c r="E15" s="35"/>
      <c r="F15" s="35"/>
      <c r="G15" s="35"/>
      <c r="H15" s="35">
        <v>0.53239999999999998</v>
      </c>
      <c r="I15" s="36">
        <v>0.70200000000000007</v>
      </c>
      <c r="J15" s="35">
        <v>396</v>
      </c>
      <c r="K15" s="35">
        <v>78.908330000000007</v>
      </c>
      <c r="L15" s="35">
        <v>0.23</v>
      </c>
    </row>
    <row r="16" spans="1:14" ht="15.75" customHeight="1" x14ac:dyDescent="0.2">
      <c r="A16" s="20">
        <v>2034</v>
      </c>
      <c r="B16" s="35"/>
      <c r="C16" s="35"/>
      <c r="D16" s="35"/>
      <c r="E16" s="35"/>
      <c r="F16" s="35"/>
      <c r="G16" s="35"/>
      <c r="H16" s="35">
        <v>0.53239999999999998</v>
      </c>
      <c r="I16" s="36">
        <v>0.65599999999999992</v>
      </c>
      <c r="J16" s="35">
        <v>396</v>
      </c>
      <c r="K16" s="35">
        <v>78.433329999999998</v>
      </c>
      <c r="L16" s="35">
        <v>0.24</v>
      </c>
    </row>
    <row r="17" spans="1:15" ht="15.75" customHeight="1" x14ac:dyDescent="0.2">
      <c r="A17" s="20">
        <v>2035</v>
      </c>
      <c r="B17" s="35"/>
      <c r="C17" s="35"/>
      <c r="D17" s="35"/>
      <c r="E17" s="35"/>
      <c r="F17" s="35"/>
      <c r="G17" s="35"/>
      <c r="H17" s="35">
        <v>0.45500000000000002</v>
      </c>
      <c r="I17" s="36">
        <v>0.6</v>
      </c>
      <c r="J17" s="35">
        <v>396</v>
      </c>
      <c r="K17" s="35">
        <v>77.441670000000002</v>
      </c>
      <c r="L17" s="35">
        <v>0.25</v>
      </c>
    </row>
    <row r="18" spans="1:15" ht="15.75" customHeight="1" x14ac:dyDescent="0.2">
      <c r="A18" s="20">
        <v>2036</v>
      </c>
      <c r="B18" s="35"/>
      <c r="C18" s="35"/>
      <c r="D18" s="35"/>
      <c r="E18" s="35"/>
      <c r="F18" s="35"/>
      <c r="G18" s="35"/>
      <c r="H18" s="35">
        <v>0.36359999999999998</v>
      </c>
      <c r="I18" s="36">
        <v>0.5</v>
      </c>
      <c r="J18" s="35">
        <v>396</v>
      </c>
      <c r="K18" s="35">
        <v>76.391670000000005</v>
      </c>
      <c r="L18" s="35">
        <v>0.25</v>
      </c>
    </row>
    <row r="19" spans="1:15" ht="15.75" customHeight="1" x14ac:dyDescent="0.2">
      <c r="A19" s="20">
        <v>2037</v>
      </c>
      <c r="B19" s="35"/>
      <c r="C19" s="35"/>
      <c r="D19" s="35"/>
      <c r="E19" s="35"/>
      <c r="F19" s="35"/>
      <c r="G19" s="35"/>
      <c r="H19" s="35">
        <v>0.2838</v>
      </c>
      <c r="I19" s="36">
        <v>0.5</v>
      </c>
      <c r="J19" s="35">
        <v>396</v>
      </c>
      <c r="K19" s="35">
        <v>71.533330000000007</v>
      </c>
      <c r="L19" s="35">
        <v>0.25</v>
      </c>
    </row>
    <row r="20" spans="1:15" ht="15.75" customHeight="1" x14ac:dyDescent="0.2">
      <c r="A20" s="20">
        <v>2038</v>
      </c>
      <c r="B20" s="35"/>
      <c r="C20" s="35"/>
      <c r="D20" s="35"/>
      <c r="E20" s="35"/>
      <c r="F20" s="35"/>
      <c r="G20" s="35"/>
      <c r="H20" s="35">
        <v>0.2838</v>
      </c>
      <c r="I20" s="36">
        <v>0.49</v>
      </c>
      <c r="J20" s="35">
        <v>396</v>
      </c>
      <c r="K20" s="35">
        <v>68.441670000000002</v>
      </c>
      <c r="L20" s="35">
        <v>0.25</v>
      </c>
    </row>
    <row r="21" spans="1:15" ht="15.75" customHeight="1" x14ac:dyDescent="0.2">
      <c r="A21" s="20">
        <v>2039</v>
      </c>
      <c r="B21" s="35"/>
      <c r="C21" s="35"/>
      <c r="D21" s="35"/>
      <c r="E21" s="35"/>
      <c r="F21" s="35"/>
      <c r="G21" s="35"/>
      <c r="H21" s="35">
        <v>0.2838</v>
      </c>
      <c r="I21" s="36">
        <v>0.49</v>
      </c>
      <c r="J21" s="35">
        <v>396</v>
      </c>
      <c r="K21" s="35">
        <v>65.491669999999999</v>
      </c>
      <c r="L21" s="35">
        <v>0.25</v>
      </c>
    </row>
    <row r="22" spans="1:15" ht="15.75" customHeight="1" x14ac:dyDescent="0.2">
      <c r="A22" s="20">
        <v>2040</v>
      </c>
      <c r="B22" s="35"/>
      <c r="C22" s="35"/>
      <c r="D22" s="35"/>
      <c r="E22" s="35"/>
      <c r="F22" s="35"/>
      <c r="G22" s="35"/>
      <c r="H22" s="35">
        <v>0.2137</v>
      </c>
      <c r="I22" s="36">
        <v>0.5</v>
      </c>
      <c r="J22" s="35">
        <v>396</v>
      </c>
      <c r="K22" s="35">
        <v>62.683330000000005</v>
      </c>
      <c r="L22" s="35">
        <v>0.25</v>
      </c>
    </row>
    <row r="23" spans="1:15" ht="15.75" customHeight="1" x14ac:dyDescent="0.2">
      <c r="A23" s="20">
        <v>2041</v>
      </c>
      <c r="B23" s="35"/>
      <c r="C23" s="35"/>
      <c r="D23" s="35"/>
      <c r="E23" s="35"/>
      <c r="F23" s="35"/>
      <c r="G23" s="35"/>
      <c r="H23" s="35">
        <v>0.2137</v>
      </c>
      <c r="I23" s="36">
        <v>0.49</v>
      </c>
      <c r="J23" s="35">
        <v>396</v>
      </c>
      <c r="K23" s="35">
        <v>60</v>
      </c>
      <c r="L23" s="35">
        <v>0.25</v>
      </c>
    </row>
    <row r="24" spans="1:15" ht="15.75" customHeight="1" x14ac:dyDescent="0.2">
      <c r="A24" s="20">
        <v>2042</v>
      </c>
      <c r="B24" s="35"/>
      <c r="C24" s="35"/>
      <c r="D24" s="35"/>
      <c r="E24" s="35"/>
      <c r="F24" s="35"/>
      <c r="G24" s="35"/>
      <c r="H24" s="35">
        <v>0.1363</v>
      </c>
      <c r="I24" s="36">
        <v>0.48</v>
      </c>
      <c r="J24" s="35">
        <v>396</v>
      </c>
      <c r="K24" s="35">
        <v>57.441669999999995</v>
      </c>
      <c r="L24" s="35">
        <v>0.25</v>
      </c>
    </row>
    <row r="25" spans="1:15" ht="15.75" customHeight="1" x14ac:dyDescent="0.2">
      <c r="A25" s="20">
        <v>2043</v>
      </c>
      <c r="B25" s="35"/>
      <c r="C25" s="35"/>
      <c r="D25" s="35"/>
      <c r="E25" s="35"/>
      <c r="F25" s="35"/>
      <c r="G25" s="35"/>
      <c r="H25" s="35">
        <v>0.1363</v>
      </c>
      <c r="I25" s="36">
        <v>0.43666666666666665</v>
      </c>
      <c r="J25" s="35">
        <v>396</v>
      </c>
      <c r="K25" s="35">
        <v>55</v>
      </c>
      <c r="L25" s="35">
        <v>0.25</v>
      </c>
    </row>
    <row r="26" spans="1:15" ht="15.75" customHeight="1" x14ac:dyDescent="0.2">
      <c r="A26" s="20">
        <v>2044</v>
      </c>
      <c r="B26" s="35"/>
      <c r="C26" s="35"/>
      <c r="D26" s="35"/>
      <c r="E26" s="35"/>
      <c r="F26" s="35"/>
      <c r="G26" s="35"/>
      <c r="H26" s="35">
        <v>6.2700000000000006E-2</v>
      </c>
      <c r="I26" s="36">
        <v>0.39333333333333337</v>
      </c>
      <c r="J26" s="35">
        <v>396</v>
      </c>
      <c r="K26" s="35">
        <v>52.666669999999996</v>
      </c>
      <c r="L26" s="35">
        <v>0.25</v>
      </c>
    </row>
    <row r="27" spans="1:15" ht="15.75" customHeight="1" x14ac:dyDescent="0.2">
      <c r="A27" s="20">
        <v>2045</v>
      </c>
      <c r="B27" s="35"/>
      <c r="C27" s="35"/>
      <c r="D27" s="35"/>
      <c r="E27" s="35"/>
      <c r="F27" s="35"/>
      <c r="G27" s="35"/>
      <c r="H27" s="35">
        <v>6.2700000000000006E-2</v>
      </c>
      <c r="I27" s="36">
        <v>0.35</v>
      </c>
      <c r="J27" s="35">
        <v>396</v>
      </c>
      <c r="K27" s="35">
        <v>50.441669999999995</v>
      </c>
      <c r="L27" s="35">
        <v>0.25</v>
      </c>
    </row>
    <row r="28" spans="1:15" ht="15.75" customHeight="1" x14ac:dyDescent="0.2">
      <c r="A28" s="20">
        <v>2046</v>
      </c>
      <c r="B28" s="35"/>
      <c r="C28" s="35"/>
      <c r="D28" s="35"/>
      <c r="E28" s="35"/>
      <c r="F28" s="35"/>
      <c r="G28" s="35"/>
      <c r="H28" s="35">
        <v>0</v>
      </c>
      <c r="I28" s="36">
        <v>0.34</v>
      </c>
      <c r="J28" s="35">
        <v>396</v>
      </c>
      <c r="K28" s="35">
        <v>48.316669999999995</v>
      </c>
      <c r="L28" s="35">
        <v>0.25</v>
      </c>
      <c r="O28" s="37"/>
    </row>
    <row r="29" spans="1:15" ht="15.75" customHeight="1" x14ac:dyDescent="0.2">
      <c r="A29" s="20">
        <v>2047</v>
      </c>
      <c r="B29" s="35"/>
      <c r="C29" s="35"/>
      <c r="D29" s="35"/>
      <c r="E29" s="35"/>
      <c r="F29" s="35"/>
      <c r="G29" s="35"/>
      <c r="H29" s="35">
        <v>0</v>
      </c>
      <c r="I29" s="36">
        <v>0.33</v>
      </c>
      <c r="J29" s="35">
        <v>396</v>
      </c>
      <c r="K29" s="35">
        <v>46.274999999999999</v>
      </c>
      <c r="L29" s="35">
        <v>0.25</v>
      </c>
    </row>
    <row r="30" spans="1:15" ht="15.75" customHeight="1" x14ac:dyDescent="0.2">
      <c r="A30" s="20">
        <v>2048</v>
      </c>
      <c r="B30" s="35"/>
      <c r="C30" s="35"/>
      <c r="D30" s="35"/>
      <c r="E30" s="35"/>
      <c r="F30" s="35"/>
      <c r="G30" s="35"/>
      <c r="H30" s="35">
        <v>0</v>
      </c>
      <c r="I30" s="36">
        <v>0.28000000000000003</v>
      </c>
      <c r="J30" s="35">
        <v>396</v>
      </c>
      <c r="K30" s="35">
        <v>44.325000000000003</v>
      </c>
      <c r="L30" s="35">
        <v>0.25</v>
      </c>
    </row>
    <row r="31" spans="1:15" ht="15.75" customHeight="1" x14ac:dyDescent="0.2">
      <c r="A31" s="20">
        <v>2049</v>
      </c>
      <c r="B31" s="35"/>
      <c r="C31" s="35"/>
      <c r="D31" s="35"/>
      <c r="E31" s="35"/>
      <c r="F31" s="35"/>
      <c r="G31" s="35"/>
      <c r="H31" s="35">
        <v>0</v>
      </c>
      <c r="I31" s="36">
        <v>0.23</v>
      </c>
      <c r="J31" s="35">
        <v>396</v>
      </c>
      <c r="K31" s="35">
        <v>42.458330000000004</v>
      </c>
      <c r="L31" s="35">
        <v>0.25</v>
      </c>
    </row>
    <row r="32" spans="1:15" ht="15.75" customHeight="1" x14ac:dyDescent="0.2">
      <c r="A32" s="20">
        <v>2050</v>
      </c>
      <c r="B32" s="35"/>
      <c r="C32" s="35"/>
      <c r="D32" s="35"/>
      <c r="E32" s="35"/>
      <c r="F32" s="35"/>
      <c r="G32" s="35"/>
      <c r="H32" s="35">
        <v>0</v>
      </c>
      <c r="I32" s="36">
        <v>0.2</v>
      </c>
      <c r="J32" s="35">
        <v>396</v>
      </c>
      <c r="K32" s="35">
        <v>40.674999999999997</v>
      </c>
      <c r="L32" s="35">
        <v>0.25</v>
      </c>
    </row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E2" r:id="rId1" xr:uid="{00000000-0004-0000-0800-000000000000}"/>
  </hyperlink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1000"/>
  <sheetViews>
    <sheetView workbookViewId="0"/>
  </sheetViews>
  <sheetFormatPr baseColWidth="10" defaultColWidth="11.1640625" defaultRowHeight="15" customHeight="1" x14ac:dyDescent="0.2"/>
  <cols>
    <col min="1" max="7" width="10.5" customWidth="1"/>
    <col min="8" max="8" width="11.1640625" customWidth="1"/>
    <col min="9" max="28" width="10.5" customWidth="1"/>
  </cols>
  <sheetData>
    <row r="1" spans="1:28" ht="15.75" customHeight="1" x14ac:dyDescent="0.2">
      <c r="A1" s="1" t="s">
        <v>0</v>
      </c>
      <c r="B1" s="1" t="s">
        <v>1</v>
      </c>
      <c r="C1" s="1">
        <v>2025</v>
      </c>
      <c r="D1" s="1">
        <v>2026</v>
      </c>
      <c r="E1" s="1">
        <v>2027</v>
      </c>
      <c r="F1" s="1">
        <v>2028</v>
      </c>
      <c r="G1" s="1">
        <v>2029</v>
      </c>
      <c r="H1" s="1">
        <v>2030</v>
      </c>
      <c r="I1" s="1">
        <v>2031</v>
      </c>
      <c r="J1" s="1">
        <v>2032</v>
      </c>
      <c r="K1" s="1">
        <v>2033</v>
      </c>
      <c r="L1" s="1">
        <v>2034</v>
      </c>
      <c r="M1" s="1">
        <v>2035</v>
      </c>
      <c r="N1" s="1">
        <v>2036</v>
      </c>
      <c r="O1" s="1">
        <v>2037</v>
      </c>
      <c r="P1" s="1">
        <v>2038</v>
      </c>
      <c r="Q1" s="1">
        <v>2039</v>
      </c>
      <c r="R1" s="1">
        <v>2040</v>
      </c>
      <c r="S1" s="1">
        <v>2041</v>
      </c>
      <c r="T1" s="1">
        <v>2042</v>
      </c>
      <c r="U1" s="1">
        <v>2043</v>
      </c>
      <c r="V1" s="1">
        <v>2044</v>
      </c>
      <c r="W1" s="1">
        <v>2045</v>
      </c>
      <c r="X1" s="1">
        <v>2046</v>
      </c>
      <c r="Y1" s="1">
        <v>2047</v>
      </c>
      <c r="Z1" s="1">
        <v>2048</v>
      </c>
      <c r="AA1" s="1">
        <v>2049</v>
      </c>
      <c r="AB1" s="1">
        <v>2050</v>
      </c>
    </row>
    <row r="2" spans="1:28" ht="15.75" customHeight="1" x14ac:dyDescent="0.2">
      <c r="A2" s="1" t="s">
        <v>54</v>
      </c>
      <c r="B2" s="4" t="s">
        <v>55</v>
      </c>
      <c r="C2" s="1">
        <v>0.34100000000000003</v>
      </c>
      <c r="D2" s="1">
        <v>0.34100000000000003</v>
      </c>
      <c r="E2" s="1">
        <v>0.34100000000000003</v>
      </c>
      <c r="F2" s="1">
        <v>0.34100000000000003</v>
      </c>
      <c r="G2" s="1">
        <v>0.34100000000000003</v>
      </c>
      <c r="H2" s="1">
        <v>0.34100000000000003</v>
      </c>
      <c r="I2" s="1">
        <v>0.34599999999999997</v>
      </c>
      <c r="J2" s="1">
        <v>0.34599999999999997</v>
      </c>
      <c r="K2" s="1">
        <v>0.34599999999999997</v>
      </c>
      <c r="L2" s="1">
        <v>0.34599999999999997</v>
      </c>
      <c r="M2" s="1">
        <v>0.34599999999999997</v>
      </c>
      <c r="N2" s="1">
        <v>0.34599999999999997</v>
      </c>
      <c r="O2" s="1">
        <v>0.34599999999999997</v>
      </c>
      <c r="P2" s="1">
        <v>0.34599999999999997</v>
      </c>
      <c r="Q2" s="1">
        <v>0.34599999999999997</v>
      </c>
      <c r="R2" s="1">
        <v>0.34599999999999997</v>
      </c>
      <c r="S2" s="1">
        <v>0.379</v>
      </c>
      <c r="T2" s="1">
        <v>0.379</v>
      </c>
      <c r="U2" s="1">
        <v>0.379</v>
      </c>
      <c r="V2" s="1">
        <v>0.379</v>
      </c>
      <c r="W2" s="1">
        <v>0.379</v>
      </c>
      <c r="X2" s="1">
        <v>0.379</v>
      </c>
      <c r="Y2" s="1">
        <v>0.379</v>
      </c>
      <c r="Z2" s="1">
        <v>0.379</v>
      </c>
      <c r="AA2" s="1">
        <v>0.379</v>
      </c>
      <c r="AB2" s="1">
        <v>0.379</v>
      </c>
    </row>
    <row r="3" spans="1:28" ht="15.75" customHeight="1" x14ac:dyDescent="0.2">
      <c r="A3" s="1" t="s">
        <v>54</v>
      </c>
      <c r="B3" s="4" t="s">
        <v>6</v>
      </c>
      <c r="C3" s="1">
        <v>0.104</v>
      </c>
      <c r="D3" s="1">
        <v>0.104</v>
      </c>
      <c r="E3" s="1">
        <v>0.104</v>
      </c>
      <c r="F3" s="1">
        <v>0.104</v>
      </c>
      <c r="G3" s="1">
        <v>0.104</v>
      </c>
      <c r="H3" s="1">
        <v>0.104</v>
      </c>
      <c r="I3" s="1">
        <v>8.5999999999999993E-2</v>
      </c>
      <c r="J3" s="1">
        <v>8.5999999999999993E-2</v>
      </c>
      <c r="K3" s="1">
        <v>8.5999999999999993E-2</v>
      </c>
      <c r="L3" s="1">
        <v>8.5999999999999993E-2</v>
      </c>
      <c r="M3" s="1">
        <v>8.5999999999999993E-2</v>
      </c>
      <c r="N3" s="1">
        <v>8.5999999999999993E-2</v>
      </c>
      <c r="O3" s="1">
        <v>8.5999999999999993E-2</v>
      </c>
      <c r="P3" s="1">
        <v>8.5999999999999993E-2</v>
      </c>
      <c r="Q3" s="1">
        <v>8.5999999999999993E-2</v>
      </c>
      <c r="R3" s="1">
        <v>8.5999999999999993E-2</v>
      </c>
      <c r="S3" s="1">
        <v>8.6999999999999994E-2</v>
      </c>
      <c r="T3" s="1">
        <v>8.6999999999999994E-2</v>
      </c>
      <c r="U3" s="1">
        <v>8.6999999999999994E-2</v>
      </c>
      <c r="V3" s="1">
        <v>8.6999999999999994E-2</v>
      </c>
      <c r="W3" s="1">
        <v>8.6999999999999994E-2</v>
      </c>
      <c r="X3" s="1">
        <v>8.6999999999999994E-2</v>
      </c>
      <c r="Y3" s="1">
        <v>8.6999999999999994E-2</v>
      </c>
      <c r="Z3" s="1">
        <v>8.6999999999999994E-2</v>
      </c>
      <c r="AA3" s="1">
        <v>8.6999999999999994E-2</v>
      </c>
      <c r="AB3" s="1">
        <v>8.6999999999999994E-2</v>
      </c>
    </row>
    <row r="4" spans="1:28" ht="15.75" customHeight="1" x14ac:dyDescent="0.2">
      <c r="A4" s="1" t="s">
        <v>54</v>
      </c>
      <c r="B4" s="4" t="s">
        <v>7</v>
      </c>
      <c r="C4" s="1">
        <v>0.112</v>
      </c>
      <c r="D4" s="1">
        <v>0.112</v>
      </c>
      <c r="E4" s="1">
        <v>0.112</v>
      </c>
      <c r="F4" s="1">
        <v>0.112</v>
      </c>
      <c r="G4" s="1">
        <v>0.112</v>
      </c>
      <c r="H4" s="1">
        <v>0.112</v>
      </c>
      <c r="I4" s="1">
        <v>0.109</v>
      </c>
      <c r="J4" s="1">
        <v>0.109</v>
      </c>
      <c r="K4" s="1">
        <v>0.109</v>
      </c>
      <c r="L4" s="1">
        <v>0.109</v>
      </c>
      <c r="M4" s="1">
        <v>0.109</v>
      </c>
      <c r="N4" s="1">
        <v>0.109</v>
      </c>
      <c r="O4" s="1">
        <v>0.109</v>
      </c>
      <c r="P4" s="1">
        <v>0.109</v>
      </c>
      <c r="Q4" s="1">
        <v>0.109</v>
      </c>
      <c r="R4" s="1">
        <v>0.109</v>
      </c>
      <c r="S4" s="1">
        <v>9.9000000000000005E-2</v>
      </c>
      <c r="T4" s="1">
        <v>9.9000000000000005E-2</v>
      </c>
      <c r="U4" s="1">
        <v>9.9000000000000005E-2</v>
      </c>
      <c r="V4" s="1">
        <v>9.9000000000000005E-2</v>
      </c>
      <c r="W4" s="1">
        <v>9.9000000000000005E-2</v>
      </c>
      <c r="X4" s="1">
        <v>9.9000000000000005E-2</v>
      </c>
      <c r="Y4" s="1">
        <v>9.9000000000000005E-2</v>
      </c>
      <c r="Z4" s="1">
        <v>9.9000000000000005E-2</v>
      </c>
      <c r="AA4" s="1">
        <v>9.9000000000000005E-2</v>
      </c>
      <c r="AB4" s="1">
        <v>9.9000000000000005E-2</v>
      </c>
    </row>
    <row r="5" spans="1:28" ht="15.75" customHeight="1" x14ac:dyDescent="0.2">
      <c r="A5" s="1" t="s">
        <v>54</v>
      </c>
      <c r="B5" s="4" t="s">
        <v>56</v>
      </c>
      <c r="C5" s="1">
        <v>0.44400000000000001</v>
      </c>
      <c r="D5" s="1">
        <v>0.44400000000000001</v>
      </c>
      <c r="E5" s="1">
        <v>0.44400000000000001</v>
      </c>
      <c r="F5" s="1">
        <v>0.44400000000000001</v>
      </c>
      <c r="G5" s="1">
        <v>0.44400000000000001</v>
      </c>
      <c r="H5" s="1">
        <v>0.44400000000000001</v>
      </c>
      <c r="I5" s="1">
        <v>0.45900000000000002</v>
      </c>
      <c r="J5" s="1">
        <v>0.45900000000000002</v>
      </c>
      <c r="K5" s="1">
        <v>0.45900000000000002</v>
      </c>
      <c r="L5" s="1">
        <v>0.45900000000000002</v>
      </c>
      <c r="M5" s="1">
        <v>0.45900000000000002</v>
      </c>
      <c r="N5" s="1">
        <v>0.45900000000000002</v>
      </c>
      <c r="O5" s="1">
        <v>0.45900000000000002</v>
      </c>
      <c r="P5" s="1">
        <v>0.45900000000000002</v>
      </c>
      <c r="Q5" s="1">
        <v>0.45900000000000002</v>
      </c>
      <c r="R5" s="1">
        <v>0.45900000000000002</v>
      </c>
      <c r="S5" s="1">
        <v>0.435</v>
      </c>
      <c r="T5" s="1">
        <v>0.435</v>
      </c>
      <c r="U5" s="1">
        <v>0.435</v>
      </c>
      <c r="V5" s="1">
        <v>0.435</v>
      </c>
      <c r="W5" s="1">
        <v>0.435</v>
      </c>
      <c r="X5" s="1">
        <v>0.435</v>
      </c>
      <c r="Y5" s="1">
        <v>0.435</v>
      </c>
      <c r="Z5" s="1">
        <v>0.435</v>
      </c>
      <c r="AA5" s="1">
        <v>0.435</v>
      </c>
      <c r="AB5" s="1">
        <v>0.435</v>
      </c>
    </row>
    <row r="6" spans="1:28" ht="15.75" customHeight="1" x14ac:dyDescent="0.2"/>
    <row r="7" spans="1:28" ht="15.75" customHeight="1" x14ac:dyDescent="0.2"/>
    <row r="8" spans="1:28" ht="15.75" customHeight="1" x14ac:dyDescent="0.2"/>
    <row r="9" spans="1:28" ht="15.75" customHeight="1" x14ac:dyDescent="0.2"/>
    <row r="10" spans="1:28" ht="15.75" customHeight="1" x14ac:dyDescent="0.2"/>
    <row r="11" spans="1:28" ht="15.75" customHeight="1" x14ac:dyDescent="0.2"/>
    <row r="12" spans="1:28" ht="15.75" customHeight="1" x14ac:dyDescent="0.2"/>
    <row r="13" spans="1:28" ht="15.75" customHeight="1" x14ac:dyDescent="0.2"/>
    <row r="14" spans="1:28" ht="15.75" customHeight="1" x14ac:dyDescent="0.2"/>
    <row r="15" spans="1:28" ht="15.75" customHeight="1" x14ac:dyDescent="0.2"/>
    <row r="16" spans="1:28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Scenario1</vt:lpstr>
      <vt:lpstr>Scenario2</vt:lpstr>
      <vt:lpstr>raw data1</vt:lpstr>
      <vt:lpstr>raw data2</vt:lpstr>
      <vt:lpstr>parameters</vt:lpstr>
      <vt:lpstr>h2portion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LeeYeongju</dc:creator>
  <cp:lastModifiedBy>LeeYeongju</cp:lastModifiedBy>
  <dcterms:created xsi:type="dcterms:W3CDTF">2025-11-09T14:57:59Z</dcterms:created>
  <dcterms:modified xsi:type="dcterms:W3CDTF">2025-11-16T15:10:42Z</dcterms:modified>
</cp:coreProperties>
</file>